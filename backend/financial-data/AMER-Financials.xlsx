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nghautang/Desktop/"/>
    </mc:Choice>
  </mc:AlternateContent>
  <xr:revisionPtr revIDLastSave="0" documentId="8_{7DD87B8C-1462-CD48-9E94-D166FD250824}" xr6:coauthVersionLast="47" xr6:coauthVersionMax="47" xr10:uidLastSave="{00000000-0000-0000-0000-000000000000}"/>
  <bookViews>
    <workbookView xWindow="5580" yWindow="2300" windowWidth="27640" windowHeight="16940" xr2:uid="{B836165A-7A47-C347-9EB9-4C72AED20D7A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9" i="1" l="1"/>
  <c r="R679" i="1"/>
  <c r="S678" i="1"/>
  <c r="R678" i="1"/>
  <c r="S677" i="1"/>
  <c r="R677" i="1"/>
  <c r="U677" i="1"/>
  <c r="S676" i="1"/>
  <c r="R676" i="1"/>
  <c r="S675" i="1"/>
  <c r="R675" i="1"/>
  <c r="U675" i="1" s="1"/>
  <c r="S674" i="1"/>
  <c r="R674" i="1"/>
  <c r="U674" i="1" s="1"/>
  <c r="S673" i="1"/>
  <c r="R673" i="1"/>
  <c r="S672" i="1"/>
  <c r="R672" i="1"/>
  <c r="S671" i="1"/>
  <c r="R671" i="1"/>
  <c r="S670" i="1"/>
  <c r="R670" i="1"/>
  <c r="S669" i="1"/>
  <c r="R669" i="1"/>
  <c r="U669" i="1" s="1"/>
  <c r="S668" i="1"/>
  <c r="R668" i="1"/>
  <c r="S667" i="1"/>
  <c r="R667" i="1"/>
  <c r="U667" i="1" s="1"/>
  <c r="S666" i="1"/>
  <c r="R666" i="1"/>
  <c r="U666" i="1" s="1"/>
  <c r="S665" i="1"/>
  <c r="R665" i="1"/>
  <c r="S664" i="1"/>
  <c r="R664" i="1"/>
  <c r="S663" i="1"/>
  <c r="R663" i="1"/>
  <c r="S662" i="1"/>
  <c r="R662" i="1"/>
  <c r="S661" i="1"/>
  <c r="R661" i="1"/>
  <c r="U661" i="1"/>
  <c r="S660" i="1"/>
  <c r="R660" i="1"/>
  <c r="U660" i="1"/>
  <c r="S659" i="1"/>
  <c r="R659" i="1"/>
  <c r="U659" i="1" s="1"/>
  <c r="S658" i="1"/>
  <c r="R658" i="1"/>
  <c r="U658" i="1" s="1"/>
  <c r="S657" i="1"/>
  <c r="R657" i="1"/>
  <c r="U657" i="1" s="1"/>
  <c r="S656" i="1"/>
  <c r="R656" i="1"/>
  <c r="S655" i="1"/>
  <c r="R655" i="1"/>
  <c r="S654" i="1"/>
  <c r="R654" i="1"/>
  <c r="U654" i="1"/>
  <c r="S653" i="1"/>
  <c r="R653" i="1"/>
  <c r="U653" i="1"/>
  <c r="S652" i="1"/>
  <c r="R652" i="1"/>
  <c r="S651" i="1"/>
  <c r="R651" i="1"/>
  <c r="U651" i="1"/>
  <c r="S650" i="1"/>
  <c r="R650" i="1"/>
  <c r="S649" i="1"/>
  <c r="R649" i="1"/>
  <c r="U649" i="1" s="1"/>
  <c r="S648" i="1"/>
  <c r="R648" i="1"/>
  <c r="S647" i="1"/>
  <c r="R647" i="1"/>
  <c r="U647" i="1"/>
  <c r="S646" i="1"/>
  <c r="R646" i="1"/>
  <c r="S645" i="1"/>
  <c r="R645" i="1"/>
  <c r="S644" i="1"/>
  <c r="R644" i="1"/>
  <c r="S643" i="1"/>
  <c r="R643" i="1"/>
  <c r="U643" i="1" s="1"/>
  <c r="S642" i="1"/>
  <c r="R642" i="1"/>
  <c r="U642" i="1"/>
  <c r="U641" i="1"/>
  <c r="S641" i="1"/>
  <c r="R641" i="1"/>
  <c r="S640" i="1"/>
  <c r="R640" i="1"/>
  <c r="S639" i="1"/>
  <c r="R639" i="1"/>
  <c r="U639" i="1"/>
  <c r="S638" i="1"/>
  <c r="R638" i="1"/>
  <c r="U638" i="1" s="1"/>
  <c r="S637" i="1"/>
  <c r="R637" i="1"/>
  <c r="S636" i="1"/>
  <c r="R636" i="1"/>
  <c r="S635" i="1"/>
  <c r="R635" i="1"/>
  <c r="U635" i="1"/>
  <c r="S634" i="1"/>
  <c r="R634" i="1"/>
  <c r="U634" i="1" s="1"/>
  <c r="S633" i="1"/>
  <c r="R633" i="1"/>
  <c r="U633" i="1"/>
  <c r="S632" i="1"/>
  <c r="R632" i="1"/>
  <c r="S631" i="1"/>
  <c r="R631" i="1"/>
  <c r="S630" i="1"/>
  <c r="R630" i="1"/>
  <c r="S629" i="1"/>
  <c r="R629" i="1"/>
  <c r="S628" i="1"/>
  <c r="R628" i="1"/>
  <c r="S627" i="1"/>
  <c r="R627" i="1"/>
  <c r="U626" i="1"/>
  <c r="S626" i="1"/>
  <c r="R626" i="1"/>
  <c r="S625" i="1"/>
  <c r="R625" i="1"/>
  <c r="S624" i="1"/>
  <c r="R624" i="1"/>
  <c r="S623" i="1"/>
  <c r="R623" i="1"/>
  <c r="S622" i="1"/>
  <c r="R622" i="1"/>
  <c r="S621" i="1"/>
  <c r="R621" i="1"/>
  <c r="S620" i="1"/>
  <c r="R620" i="1"/>
  <c r="S619" i="1"/>
  <c r="R619" i="1"/>
  <c r="U619" i="1" s="1"/>
  <c r="U618" i="1"/>
  <c r="S618" i="1"/>
  <c r="R618" i="1"/>
  <c r="S617" i="1"/>
  <c r="R617" i="1"/>
  <c r="S616" i="1"/>
  <c r="R616" i="1"/>
  <c r="S615" i="1"/>
  <c r="R615" i="1"/>
  <c r="S614" i="1"/>
  <c r="R614" i="1"/>
  <c r="S613" i="1"/>
  <c r="R613" i="1"/>
  <c r="S612" i="1"/>
  <c r="R612" i="1"/>
  <c r="U612" i="1" s="1"/>
  <c r="S611" i="1"/>
  <c r="R611" i="1"/>
  <c r="U611" i="1" s="1"/>
  <c r="S610" i="1"/>
  <c r="R610" i="1"/>
  <c r="U610" i="1"/>
  <c r="S609" i="1"/>
  <c r="R609" i="1"/>
  <c r="U609" i="1" s="1"/>
  <c r="S608" i="1"/>
  <c r="R608" i="1"/>
  <c r="S607" i="1"/>
  <c r="R607" i="1"/>
  <c r="U607" i="1"/>
  <c r="S606" i="1"/>
  <c r="R606" i="1"/>
  <c r="S605" i="1"/>
  <c r="R605" i="1"/>
  <c r="S604" i="1"/>
  <c r="R604" i="1"/>
  <c r="S603" i="1"/>
  <c r="R603" i="1"/>
  <c r="U603" i="1" s="1"/>
  <c r="S602" i="1"/>
  <c r="R602" i="1"/>
  <c r="U602" i="1" s="1"/>
  <c r="S601" i="1"/>
  <c r="R601" i="1"/>
  <c r="U601" i="1" s="1"/>
  <c r="S600" i="1"/>
  <c r="R600" i="1"/>
  <c r="S599" i="1"/>
  <c r="R599" i="1"/>
  <c r="U599" i="1" s="1"/>
  <c r="S598" i="1"/>
  <c r="R598" i="1"/>
  <c r="S597" i="1"/>
  <c r="R597" i="1"/>
  <c r="S596" i="1"/>
  <c r="R596" i="1"/>
  <c r="U595" i="1"/>
  <c r="S595" i="1"/>
  <c r="R595" i="1"/>
  <c r="S594" i="1"/>
  <c r="R594" i="1"/>
  <c r="U594" i="1" s="1"/>
  <c r="S593" i="1"/>
  <c r="R593" i="1"/>
  <c r="U593" i="1"/>
  <c r="S592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U586" i="1"/>
  <c r="S585" i="1"/>
  <c r="R585" i="1"/>
  <c r="S584" i="1"/>
  <c r="R584" i="1"/>
  <c r="S583" i="1"/>
  <c r="R583" i="1"/>
  <c r="U583" i="1" s="1"/>
  <c r="S582" i="1"/>
  <c r="R582" i="1"/>
  <c r="S581" i="1"/>
  <c r="R581" i="1"/>
  <c r="S580" i="1"/>
  <c r="R580" i="1"/>
  <c r="U580" i="1"/>
  <c r="S579" i="1"/>
  <c r="R579" i="1"/>
  <c r="S578" i="1"/>
  <c r="R578" i="1"/>
  <c r="U578" i="1" s="1"/>
  <c r="S577" i="1"/>
  <c r="R577" i="1"/>
  <c r="U577" i="1" s="1"/>
  <c r="S576" i="1"/>
  <c r="R576" i="1"/>
  <c r="S575" i="1"/>
  <c r="R575" i="1"/>
  <c r="S574" i="1"/>
  <c r="R574" i="1"/>
  <c r="S573" i="1"/>
  <c r="R573" i="1"/>
  <c r="S572" i="1"/>
  <c r="R572" i="1"/>
  <c r="S571" i="1"/>
  <c r="R571" i="1"/>
  <c r="U571" i="1" s="1"/>
  <c r="U570" i="1"/>
  <c r="S570" i="1"/>
  <c r="R570" i="1"/>
  <c r="S569" i="1"/>
  <c r="R569" i="1"/>
  <c r="S568" i="1"/>
  <c r="R568" i="1"/>
  <c r="S567" i="1"/>
  <c r="R567" i="1"/>
  <c r="U567" i="1" s="1"/>
  <c r="S566" i="1"/>
  <c r="R566" i="1"/>
  <c r="U566" i="1" s="1"/>
  <c r="S565" i="1"/>
  <c r="R565" i="1"/>
  <c r="S564" i="1"/>
  <c r="R564" i="1"/>
  <c r="U564" i="1" s="1"/>
  <c r="S563" i="1"/>
  <c r="R563" i="1"/>
  <c r="U563" i="1" s="1"/>
  <c r="S562" i="1"/>
  <c r="R562" i="1"/>
  <c r="U562" i="1"/>
  <c r="S561" i="1"/>
  <c r="R561" i="1"/>
  <c r="U561" i="1" s="1"/>
  <c r="S560" i="1"/>
  <c r="R560" i="1"/>
  <c r="S559" i="1"/>
  <c r="R559" i="1"/>
  <c r="S558" i="1"/>
  <c r="R558" i="1"/>
  <c r="U558" i="1" s="1"/>
  <c r="S557" i="1"/>
  <c r="R557" i="1"/>
  <c r="S556" i="1"/>
  <c r="R556" i="1"/>
  <c r="U556" i="1"/>
  <c r="S555" i="1"/>
  <c r="R555" i="1"/>
  <c r="U555" i="1" s="1"/>
  <c r="S554" i="1"/>
  <c r="R554" i="1"/>
  <c r="U554" i="1" s="1"/>
  <c r="S553" i="1"/>
  <c r="R553" i="1"/>
  <c r="U553" i="1" s="1"/>
  <c r="S552" i="1"/>
  <c r="R552" i="1"/>
  <c r="U551" i="1"/>
  <c r="S551" i="1"/>
  <c r="R551" i="1"/>
  <c r="S550" i="1"/>
  <c r="R550" i="1"/>
  <c r="U550" i="1" s="1"/>
  <c r="S549" i="1"/>
  <c r="R549" i="1"/>
  <c r="S548" i="1"/>
  <c r="R548" i="1"/>
  <c r="S547" i="1"/>
  <c r="R547" i="1"/>
  <c r="S546" i="1"/>
  <c r="R546" i="1"/>
  <c r="U546" i="1" s="1"/>
  <c r="S545" i="1"/>
  <c r="R545" i="1"/>
  <c r="U545" i="1" s="1"/>
  <c r="S544" i="1"/>
  <c r="R544" i="1"/>
  <c r="S543" i="1"/>
  <c r="R543" i="1"/>
  <c r="S542" i="1"/>
  <c r="R542" i="1"/>
  <c r="S541" i="1"/>
  <c r="R541" i="1"/>
  <c r="U541" i="1" s="1"/>
  <c r="S540" i="1"/>
  <c r="R540" i="1"/>
  <c r="S539" i="1"/>
  <c r="R539" i="1"/>
  <c r="U539" i="1" s="1"/>
  <c r="S538" i="1"/>
  <c r="R538" i="1"/>
  <c r="S537" i="1"/>
  <c r="R537" i="1"/>
  <c r="U537" i="1" s="1"/>
  <c r="S536" i="1"/>
  <c r="R536" i="1"/>
  <c r="S535" i="1"/>
  <c r="R535" i="1"/>
  <c r="S534" i="1"/>
  <c r="R534" i="1"/>
  <c r="S533" i="1"/>
  <c r="R533" i="1"/>
  <c r="U533" i="1" s="1"/>
  <c r="S532" i="1"/>
  <c r="R532" i="1"/>
  <c r="S531" i="1"/>
  <c r="R531" i="1"/>
  <c r="S530" i="1"/>
  <c r="R530" i="1"/>
  <c r="U530" i="1" s="1"/>
  <c r="S529" i="1"/>
  <c r="R529" i="1"/>
  <c r="S528" i="1"/>
  <c r="R528" i="1"/>
  <c r="S527" i="1"/>
  <c r="R527" i="1"/>
  <c r="S526" i="1"/>
  <c r="R526" i="1"/>
  <c r="S525" i="1"/>
  <c r="R525" i="1"/>
  <c r="S524" i="1"/>
  <c r="R524" i="1"/>
  <c r="U524" i="1"/>
  <c r="S523" i="1"/>
  <c r="R523" i="1"/>
  <c r="U523" i="1" s="1"/>
  <c r="S522" i="1"/>
  <c r="R522" i="1"/>
  <c r="U522" i="1" s="1"/>
  <c r="S521" i="1"/>
  <c r="R521" i="1"/>
  <c r="U521" i="1" s="1"/>
  <c r="S520" i="1"/>
  <c r="R520" i="1"/>
  <c r="S519" i="1"/>
  <c r="R519" i="1"/>
  <c r="S518" i="1"/>
  <c r="R518" i="1"/>
  <c r="U518" i="1" s="1"/>
  <c r="S517" i="1"/>
  <c r="R517" i="1"/>
  <c r="U517" i="1" s="1"/>
  <c r="S516" i="1"/>
  <c r="R516" i="1"/>
  <c r="S515" i="1"/>
  <c r="R515" i="1"/>
  <c r="S514" i="1"/>
  <c r="R514" i="1"/>
  <c r="S513" i="1"/>
  <c r="R513" i="1"/>
  <c r="S512" i="1"/>
  <c r="R512" i="1"/>
  <c r="S511" i="1"/>
  <c r="R511" i="1"/>
  <c r="U511" i="1" s="1"/>
  <c r="S510" i="1"/>
  <c r="R510" i="1"/>
  <c r="U510" i="1"/>
  <c r="S509" i="1"/>
  <c r="R509" i="1"/>
  <c r="S508" i="1"/>
  <c r="R508" i="1"/>
  <c r="U508" i="1" s="1"/>
  <c r="S507" i="1"/>
  <c r="R507" i="1"/>
  <c r="U507" i="1"/>
  <c r="S506" i="1"/>
  <c r="R506" i="1"/>
  <c r="U506" i="1" s="1"/>
  <c r="S505" i="1"/>
  <c r="R505" i="1"/>
  <c r="U505" i="1" s="1"/>
  <c r="S504" i="1"/>
  <c r="R504" i="1"/>
  <c r="S503" i="1"/>
  <c r="R503" i="1"/>
  <c r="U503" i="1" s="1"/>
  <c r="S502" i="1"/>
  <c r="R502" i="1"/>
  <c r="U502" i="1" s="1"/>
  <c r="S501" i="1"/>
  <c r="R501" i="1"/>
  <c r="U501" i="1" s="1"/>
  <c r="S500" i="1"/>
  <c r="R500" i="1"/>
  <c r="S499" i="1"/>
  <c r="R499" i="1"/>
  <c r="S498" i="1"/>
  <c r="R498" i="1"/>
  <c r="S497" i="1"/>
  <c r="R497" i="1"/>
  <c r="U497" i="1" s="1"/>
  <c r="S496" i="1"/>
  <c r="R496" i="1"/>
  <c r="S495" i="1"/>
  <c r="R495" i="1"/>
  <c r="S494" i="1"/>
  <c r="R494" i="1"/>
  <c r="S493" i="1"/>
  <c r="R493" i="1"/>
  <c r="U493" i="1" s="1"/>
  <c r="S492" i="1"/>
  <c r="R492" i="1"/>
  <c r="S491" i="1"/>
  <c r="R491" i="1"/>
  <c r="U491" i="1" s="1"/>
  <c r="S490" i="1"/>
  <c r="R490" i="1"/>
  <c r="S489" i="1"/>
  <c r="R489" i="1"/>
  <c r="U489" i="1" s="1"/>
  <c r="S488" i="1"/>
  <c r="R488" i="1"/>
  <c r="S487" i="1"/>
  <c r="R487" i="1"/>
  <c r="S486" i="1"/>
  <c r="R486" i="1"/>
  <c r="S485" i="1"/>
  <c r="R485" i="1"/>
  <c r="U485" i="1" s="1"/>
  <c r="S484" i="1"/>
  <c r="R484" i="1"/>
  <c r="S483" i="1"/>
  <c r="R483" i="1"/>
  <c r="U483" i="1" s="1"/>
  <c r="S482" i="1"/>
  <c r="R482" i="1"/>
  <c r="U482" i="1" s="1"/>
  <c r="S481" i="1"/>
  <c r="R481" i="1"/>
  <c r="U481" i="1" s="1"/>
  <c r="S480" i="1"/>
  <c r="R480" i="1"/>
  <c r="S479" i="1"/>
  <c r="R479" i="1"/>
  <c r="S478" i="1"/>
  <c r="R478" i="1"/>
  <c r="S477" i="1"/>
  <c r="R477" i="1"/>
  <c r="U477" i="1" s="1"/>
  <c r="S476" i="1"/>
  <c r="R476" i="1"/>
  <c r="S475" i="1"/>
  <c r="R475" i="1"/>
  <c r="U475" i="1" s="1"/>
  <c r="U474" i="1"/>
  <c r="S474" i="1"/>
  <c r="R474" i="1"/>
  <c r="S473" i="1"/>
  <c r="R473" i="1"/>
  <c r="U473" i="1" s="1"/>
  <c r="S472" i="1"/>
  <c r="R472" i="1"/>
  <c r="S471" i="1"/>
  <c r="R471" i="1"/>
  <c r="S470" i="1"/>
  <c r="R470" i="1"/>
  <c r="S469" i="1"/>
  <c r="R469" i="1"/>
  <c r="U469" i="1" s="1"/>
  <c r="S468" i="1"/>
  <c r="R468" i="1"/>
  <c r="S467" i="1"/>
  <c r="R467" i="1"/>
  <c r="U467" i="1" s="1"/>
  <c r="S466" i="1"/>
  <c r="R466" i="1"/>
  <c r="S465" i="1"/>
  <c r="R465" i="1"/>
  <c r="U465" i="1" s="1"/>
  <c r="S464" i="1"/>
  <c r="R464" i="1"/>
  <c r="S463" i="1"/>
  <c r="R463" i="1"/>
  <c r="S462" i="1"/>
  <c r="R462" i="1"/>
  <c r="S461" i="1"/>
  <c r="R461" i="1"/>
  <c r="U461" i="1" s="1"/>
  <c r="S460" i="1"/>
  <c r="R460" i="1"/>
  <c r="S459" i="1"/>
  <c r="R459" i="1"/>
  <c r="U459" i="1" s="1"/>
  <c r="U458" i="1"/>
  <c r="S458" i="1"/>
  <c r="R458" i="1"/>
  <c r="S457" i="1"/>
  <c r="R457" i="1"/>
  <c r="U457" i="1" s="1"/>
  <c r="S456" i="1"/>
  <c r="R456" i="1"/>
  <c r="S455" i="1"/>
  <c r="R455" i="1"/>
  <c r="S454" i="1"/>
  <c r="R454" i="1"/>
  <c r="S453" i="1"/>
  <c r="R453" i="1"/>
  <c r="U453" i="1" s="1"/>
  <c r="S452" i="1"/>
  <c r="R452" i="1"/>
  <c r="S451" i="1"/>
  <c r="R451" i="1"/>
  <c r="U451" i="1" s="1"/>
  <c r="S450" i="1"/>
  <c r="R450" i="1"/>
  <c r="U450" i="1"/>
  <c r="S449" i="1"/>
  <c r="R449" i="1"/>
  <c r="U449" i="1" s="1"/>
  <c r="S448" i="1"/>
  <c r="R448" i="1"/>
  <c r="S447" i="1"/>
  <c r="R447" i="1"/>
  <c r="S446" i="1"/>
  <c r="R446" i="1"/>
  <c r="U446" i="1" s="1"/>
  <c r="S445" i="1"/>
  <c r="R445" i="1"/>
  <c r="S444" i="1"/>
  <c r="R444" i="1"/>
  <c r="S443" i="1"/>
  <c r="R443" i="1"/>
  <c r="U443" i="1" s="1"/>
  <c r="S442" i="1"/>
  <c r="R442" i="1"/>
  <c r="S441" i="1"/>
  <c r="R441" i="1"/>
  <c r="S440" i="1"/>
  <c r="R440" i="1"/>
  <c r="S439" i="1"/>
  <c r="R439" i="1"/>
  <c r="S438" i="1"/>
  <c r="R438" i="1"/>
  <c r="U438" i="1" s="1"/>
  <c r="S437" i="1"/>
  <c r="R437" i="1"/>
  <c r="S436" i="1"/>
  <c r="R436" i="1"/>
  <c r="S435" i="1"/>
  <c r="R435" i="1"/>
  <c r="U435" i="1" s="1"/>
  <c r="S434" i="1"/>
  <c r="R434" i="1"/>
  <c r="U434" i="1" s="1"/>
  <c r="S433" i="1"/>
  <c r="R433" i="1"/>
  <c r="S432" i="1"/>
  <c r="R432" i="1"/>
  <c r="S431" i="1"/>
  <c r="R431" i="1"/>
  <c r="S430" i="1"/>
  <c r="R430" i="1"/>
  <c r="S429" i="1"/>
  <c r="R429" i="1"/>
  <c r="U429" i="1" s="1"/>
  <c r="S428" i="1"/>
  <c r="R428" i="1"/>
  <c r="U427" i="1"/>
  <c r="S427" i="1"/>
  <c r="R427" i="1"/>
  <c r="U426" i="1"/>
  <c r="S426" i="1"/>
  <c r="R426" i="1"/>
  <c r="S425" i="1"/>
  <c r="R425" i="1"/>
  <c r="S424" i="1"/>
  <c r="R424" i="1"/>
  <c r="S423" i="1"/>
  <c r="R423" i="1"/>
  <c r="U423" i="1" s="1"/>
  <c r="S422" i="1"/>
  <c r="R422" i="1"/>
  <c r="U422" i="1"/>
  <c r="S421" i="1"/>
  <c r="R421" i="1"/>
  <c r="S420" i="1"/>
  <c r="R420" i="1"/>
  <c r="S419" i="1"/>
  <c r="R419" i="1"/>
  <c r="U419" i="1" s="1"/>
  <c r="S418" i="1"/>
  <c r="R418" i="1"/>
  <c r="U418" i="1" s="1"/>
  <c r="S417" i="1"/>
  <c r="R417" i="1"/>
  <c r="U417" i="1" s="1"/>
  <c r="S416" i="1"/>
  <c r="R416" i="1"/>
  <c r="U415" i="1"/>
  <c r="S415" i="1"/>
  <c r="R415" i="1"/>
  <c r="U414" i="1"/>
  <c r="S414" i="1"/>
  <c r="R414" i="1"/>
  <c r="S413" i="1"/>
  <c r="R413" i="1"/>
  <c r="U413" i="1" s="1"/>
  <c r="S412" i="1"/>
  <c r="R412" i="1"/>
  <c r="U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U405" i="1" s="1"/>
  <c r="S404" i="1"/>
  <c r="R404" i="1"/>
  <c r="S403" i="1"/>
  <c r="R403" i="1"/>
  <c r="U403" i="1" s="1"/>
  <c r="S402" i="1"/>
  <c r="R402" i="1"/>
  <c r="U402" i="1" s="1"/>
  <c r="S401" i="1"/>
  <c r="R401" i="1"/>
  <c r="U401" i="1" s="1"/>
  <c r="S400" i="1"/>
  <c r="R400" i="1"/>
  <c r="S399" i="1"/>
  <c r="R399" i="1"/>
  <c r="S398" i="1"/>
  <c r="R398" i="1"/>
  <c r="U398" i="1" s="1"/>
  <c r="S397" i="1"/>
  <c r="R397" i="1"/>
  <c r="S396" i="1"/>
  <c r="R396" i="1"/>
  <c r="S395" i="1"/>
  <c r="R395" i="1"/>
  <c r="S394" i="1"/>
  <c r="R394" i="1"/>
  <c r="U394" i="1"/>
  <c r="S393" i="1"/>
  <c r="R393" i="1"/>
  <c r="S392" i="1"/>
  <c r="R392" i="1"/>
  <c r="U391" i="1"/>
  <c r="S391" i="1"/>
  <c r="R391" i="1"/>
  <c r="S390" i="1"/>
  <c r="R390" i="1"/>
  <c r="U390" i="1"/>
  <c r="S389" i="1"/>
  <c r="R389" i="1"/>
  <c r="U389" i="1" s="1"/>
  <c r="S388" i="1"/>
  <c r="R388" i="1"/>
  <c r="S387" i="1"/>
  <c r="R387" i="1"/>
  <c r="U387" i="1" s="1"/>
  <c r="S386" i="1"/>
  <c r="R386" i="1"/>
  <c r="U386" i="1" s="1"/>
  <c r="S385" i="1"/>
  <c r="R385" i="1"/>
  <c r="U385" i="1" s="1"/>
  <c r="S384" i="1"/>
  <c r="R384" i="1"/>
  <c r="S383" i="1"/>
  <c r="R383" i="1"/>
  <c r="S382" i="1"/>
  <c r="R382" i="1"/>
  <c r="U382" i="1" s="1"/>
  <c r="S381" i="1"/>
  <c r="R381" i="1"/>
  <c r="S380" i="1"/>
  <c r="R380" i="1"/>
  <c r="S379" i="1"/>
  <c r="R379" i="1"/>
  <c r="S378" i="1"/>
  <c r="R378" i="1"/>
  <c r="S377" i="1"/>
  <c r="R377" i="1"/>
  <c r="U377" i="1" s="1"/>
  <c r="S376" i="1"/>
  <c r="R376" i="1"/>
  <c r="U376" i="1" s="1"/>
  <c r="S375" i="1"/>
  <c r="R375" i="1"/>
  <c r="U375" i="1" s="1"/>
  <c r="S374" i="1"/>
  <c r="R374" i="1"/>
  <c r="U374" i="1" s="1"/>
  <c r="S373" i="1"/>
  <c r="R373" i="1"/>
  <c r="S372" i="1"/>
  <c r="R372" i="1"/>
  <c r="S371" i="1"/>
  <c r="R371" i="1"/>
  <c r="S370" i="1"/>
  <c r="R370" i="1"/>
  <c r="U370" i="1" s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U358" i="1" s="1"/>
  <c r="S357" i="1"/>
  <c r="R357" i="1"/>
  <c r="S356" i="1"/>
  <c r="R356" i="1"/>
  <c r="S355" i="1"/>
  <c r="R355" i="1"/>
  <c r="U355" i="1" s="1"/>
  <c r="S354" i="1"/>
  <c r="R354" i="1"/>
  <c r="S353" i="1"/>
  <c r="R353" i="1"/>
  <c r="S352" i="1"/>
  <c r="R352" i="1"/>
  <c r="S351" i="1"/>
  <c r="R351" i="1"/>
  <c r="U351" i="1" s="1"/>
  <c r="S350" i="1"/>
  <c r="R350" i="1"/>
  <c r="U350" i="1"/>
  <c r="S349" i="1"/>
  <c r="R349" i="1"/>
  <c r="U349" i="1" s="1"/>
  <c r="S348" i="1"/>
  <c r="R348" i="1"/>
  <c r="S347" i="1"/>
  <c r="R347" i="1"/>
  <c r="S346" i="1"/>
  <c r="R346" i="1"/>
  <c r="S345" i="1"/>
  <c r="R345" i="1"/>
  <c r="U345" i="1" s="1"/>
  <c r="S344" i="1"/>
  <c r="R344" i="1"/>
  <c r="U344" i="1"/>
  <c r="S343" i="1"/>
  <c r="R343" i="1"/>
  <c r="S342" i="1"/>
  <c r="R342" i="1"/>
  <c r="S341" i="1"/>
  <c r="R341" i="1"/>
  <c r="U341" i="1"/>
  <c r="S340" i="1"/>
  <c r="R340" i="1"/>
  <c r="U339" i="1"/>
  <c r="S339" i="1"/>
  <c r="R339" i="1"/>
  <c r="S338" i="1"/>
  <c r="R338" i="1"/>
  <c r="S337" i="1"/>
  <c r="R337" i="1"/>
  <c r="U337" i="1" s="1"/>
  <c r="S336" i="1"/>
  <c r="R336" i="1"/>
  <c r="S335" i="1"/>
  <c r="R335" i="1"/>
  <c r="U335" i="1" s="1"/>
  <c r="S334" i="1"/>
  <c r="R334" i="1"/>
  <c r="S333" i="1"/>
  <c r="R333" i="1"/>
  <c r="S332" i="1"/>
  <c r="R332" i="1"/>
  <c r="U332" i="1" s="1"/>
  <c r="S331" i="1"/>
  <c r="R331" i="1"/>
  <c r="S330" i="1"/>
  <c r="R330" i="1"/>
  <c r="S329" i="1"/>
  <c r="R329" i="1"/>
  <c r="U329" i="1" s="1"/>
  <c r="S328" i="1"/>
  <c r="R328" i="1"/>
  <c r="S327" i="1"/>
  <c r="R327" i="1"/>
  <c r="S326" i="1"/>
  <c r="R326" i="1"/>
  <c r="S325" i="1"/>
  <c r="R325" i="1"/>
  <c r="U325" i="1"/>
  <c r="S324" i="1"/>
  <c r="R324" i="1"/>
  <c r="U324" i="1" s="1"/>
  <c r="S323" i="1"/>
  <c r="R323" i="1"/>
  <c r="U323" i="1" s="1"/>
  <c r="S322" i="1"/>
  <c r="R322" i="1"/>
  <c r="U322" i="1" s="1"/>
  <c r="S321" i="1"/>
  <c r="R321" i="1"/>
  <c r="U321" i="1" s="1"/>
  <c r="S320" i="1"/>
  <c r="R320" i="1"/>
  <c r="S319" i="1"/>
  <c r="R319" i="1"/>
  <c r="S318" i="1"/>
  <c r="R318" i="1"/>
  <c r="U318" i="1"/>
  <c r="S317" i="1"/>
  <c r="R317" i="1"/>
  <c r="U317" i="1" s="1"/>
  <c r="S316" i="1"/>
  <c r="R316" i="1"/>
  <c r="S315" i="1"/>
  <c r="R315" i="1"/>
  <c r="U315" i="1" s="1"/>
  <c r="S314" i="1"/>
  <c r="R314" i="1"/>
  <c r="U314" i="1"/>
  <c r="S313" i="1"/>
  <c r="R313" i="1"/>
  <c r="S312" i="1"/>
  <c r="R312" i="1"/>
  <c r="U311" i="1"/>
  <c r="S311" i="1"/>
  <c r="R311" i="1"/>
  <c r="S310" i="1"/>
  <c r="R310" i="1"/>
  <c r="U310" i="1"/>
  <c r="S309" i="1"/>
  <c r="R309" i="1"/>
  <c r="U309" i="1" s="1"/>
  <c r="S308" i="1"/>
  <c r="R308" i="1"/>
  <c r="S307" i="1"/>
  <c r="R307" i="1"/>
  <c r="U307" i="1"/>
  <c r="S306" i="1"/>
  <c r="R306" i="1"/>
  <c r="U306" i="1" s="1"/>
  <c r="S305" i="1"/>
  <c r="R305" i="1"/>
  <c r="U305" i="1" s="1"/>
  <c r="S304" i="1"/>
  <c r="R304" i="1"/>
  <c r="S303" i="1"/>
  <c r="R303" i="1"/>
  <c r="S302" i="1"/>
  <c r="R302" i="1"/>
  <c r="U302" i="1" s="1"/>
  <c r="S301" i="1"/>
  <c r="R301" i="1"/>
  <c r="S300" i="1"/>
  <c r="R300" i="1"/>
  <c r="U300" i="1"/>
  <c r="S299" i="1"/>
  <c r="R299" i="1"/>
  <c r="U299" i="1" s="1"/>
  <c r="S298" i="1"/>
  <c r="R298" i="1"/>
  <c r="S297" i="1"/>
  <c r="R297" i="1"/>
  <c r="S296" i="1"/>
  <c r="R296" i="1"/>
  <c r="S295" i="1"/>
  <c r="R295" i="1"/>
  <c r="U295" i="1" s="1"/>
  <c r="S294" i="1"/>
  <c r="R294" i="1"/>
  <c r="U294" i="1"/>
  <c r="S293" i="1"/>
  <c r="R293" i="1"/>
  <c r="S292" i="1"/>
  <c r="R292" i="1"/>
  <c r="S291" i="1"/>
  <c r="R291" i="1"/>
  <c r="U291" i="1" s="1"/>
  <c r="U290" i="1"/>
  <c r="S290" i="1"/>
  <c r="R290" i="1"/>
  <c r="S289" i="1"/>
  <c r="R289" i="1"/>
  <c r="U289" i="1" s="1"/>
  <c r="S288" i="1"/>
  <c r="R288" i="1"/>
  <c r="S287" i="1"/>
  <c r="R287" i="1"/>
  <c r="U287" i="1" s="1"/>
  <c r="S286" i="1"/>
  <c r="R286" i="1"/>
  <c r="U286" i="1"/>
  <c r="S285" i="1"/>
  <c r="R285" i="1"/>
  <c r="U285" i="1" s="1"/>
  <c r="S284" i="1"/>
  <c r="R284" i="1"/>
  <c r="U284" i="1" s="1"/>
  <c r="S283" i="1"/>
  <c r="R283" i="1"/>
  <c r="U283" i="1"/>
  <c r="S282" i="1"/>
  <c r="R282" i="1"/>
  <c r="S281" i="1"/>
  <c r="R281" i="1"/>
  <c r="U281" i="1" s="1"/>
  <c r="S280" i="1"/>
  <c r="R280" i="1"/>
  <c r="S279" i="1"/>
  <c r="R279" i="1"/>
  <c r="S278" i="1"/>
  <c r="R278" i="1"/>
  <c r="S277" i="1"/>
  <c r="R277" i="1"/>
  <c r="S276" i="1"/>
  <c r="R276" i="1"/>
  <c r="S275" i="1"/>
  <c r="R275" i="1"/>
  <c r="U275" i="1"/>
  <c r="S274" i="1"/>
  <c r="R274" i="1"/>
  <c r="S273" i="1"/>
  <c r="R273" i="1"/>
  <c r="U273" i="1" s="1"/>
  <c r="S272" i="1"/>
  <c r="R272" i="1"/>
  <c r="S271" i="1"/>
  <c r="R271" i="1"/>
  <c r="S270" i="1"/>
  <c r="R270" i="1"/>
  <c r="U270" i="1"/>
  <c r="S269" i="1"/>
  <c r="R269" i="1"/>
  <c r="U269" i="1" s="1"/>
  <c r="S268" i="1"/>
  <c r="R268" i="1"/>
  <c r="S267" i="1"/>
  <c r="R267" i="1"/>
  <c r="S266" i="1"/>
  <c r="R266" i="1"/>
  <c r="S265" i="1"/>
  <c r="R265" i="1"/>
  <c r="S264" i="1"/>
  <c r="R264" i="1"/>
  <c r="S263" i="1"/>
  <c r="R263" i="1"/>
  <c r="U263" i="1" s="1"/>
  <c r="S262" i="1"/>
  <c r="R262" i="1"/>
  <c r="U262" i="1" s="1"/>
  <c r="S261" i="1"/>
  <c r="R261" i="1"/>
  <c r="S260" i="1"/>
  <c r="R260" i="1"/>
  <c r="U260" i="1" s="1"/>
  <c r="U259" i="1"/>
  <c r="S259" i="1"/>
  <c r="R259" i="1"/>
  <c r="S258" i="1"/>
  <c r="R258" i="1"/>
  <c r="S257" i="1"/>
  <c r="R257" i="1"/>
  <c r="U257" i="1" s="1"/>
  <c r="S256" i="1"/>
  <c r="R256" i="1"/>
  <c r="S255" i="1"/>
  <c r="R255" i="1"/>
  <c r="U255" i="1" s="1"/>
  <c r="S254" i="1"/>
  <c r="R254" i="1"/>
  <c r="S253" i="1"/>
  <c r="R253" i="1"/>
  <c r="S252" i="1"/>
  <c r="R252" i="1"/>
  <c r="U252" i="1" s="1"/>
  <c r="S251" i="1"/>
  <c r="R251" i="1"/>
  <c r="S250" i="1"/>
  <c r="R250" i="1"/>
  <c r="U250" i="1"/>
  <c r="S249" i="1"/>
  <c r="R249" i="1"/>
  <c r="S248" i="1"/>
  <c r="R248" i="1"/>
  <c r="S247" i="1"/>
  <c r="R247" i="1"/>
  <c r="S246" i="1"/>
  <c r="R246" i="1"/>
  <c r="U246" i="1" s="1"/>
  <c r="S245" i="1"/>
  <c r="R245" i="1"/>
  <c r="U245" i="1" s="1"/>
  <c r="S244" i="1"/>
  <c r="R244" i="1"/>
  <c r="S243" i="1"/>
  <c r="R243" i="1"/>
  <c r="U243" i="1" s="1"/>
  <c r="S242" i="1"/>
  <c r="R242" i="1"/>
  <c r="U242" i="1"/>
  <c r="S241" i="1"/>
  <c r="R241" i="1"/>
  <c r="S240" i="1"/>
  <c r="R240" i="1"/>
  <c r="S239" i="1"/>
  <c r="R239" i="1"/>
  <c r="U239" i="1" s="1"/>
  <c r="S238" i="1"/>
  <c r="R238" i="1"/>
  <c r="S237" i="1"/>
  <c r="R237" i="1"/>
  <c r="S236" i="1"/>
  <c r="R236" i="1"/>
  <c r="U236" i="1" s="1"/>
  <c r="S235" i="1"/>
  <c r="R235" i="1"/>
  <c r="U235" i="1" s="1"/>
  <c r="S234" i="1"/>
  <c r="R234" i="1"/>
  <c r="U234" i="1"/>
  <c r="S233" i="1"/>
  <c r="R233" i="1"/>
  <c r="U233" i="1" s="1"/>
  <c r="S232" i="1"/>
  <c r="R232" i="1"/>
  <c r="S231" i="1"/>
  <c r="R231" i="1"/>
  <c r="S230" i="1"/>
  <c r="R230" i="1"/>
  <c r="S229" i="1"/>
  <c r="R229" i="1"/>
  <c r="S228" i="1"/>
  <c r="R228" i="1"/>
  <c r="U228" i="1" s="1"/>
  <c r="S227" i="1"/>
  <c r="R227" i="1"/>
  <c r="S226" i="1"/>
  <c r="R226" i="1"/>
  <c r="U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U219" i="1"/>
  <c r="S219" i="1"/>
  <c r="R219" i="1"/>
  <c r="S218" i="1"/>
  <c r="R218" i="1"/>
  <c r="S217" i="1"/>
  <c r="R217" i="1"/>
  <c r="U217" i="1" s="1"/>
  <c r="S216" i="1"/>
  <c r="R216" i="1"/>
  <c r="S215" i="1"/>
  <c r="R215" i="1"/>
  <c r="U215" i="1"/>
  <c r="S214" i="1"/>
  <c r="R214" i="1"/>
  <c r="U214" i="1" s="1"/>
  <c r="S213" i="1"/>
  <c r="R213" i="1"/>
  <c r="S212" i="1"/>
  <c r="R212" i="1"/>
  <c r="U212" i="1"/>
  <c r="U211" i="1"/>
  <c r="S211" i="1"/>
  <c r="R211" i="1"/>
  <c r="S210" i="1"/>
  <c r="R210" i="1"/>
  <c r="S209" i="1"/>
  <c r="R209" i="1"/>
  <c r="U209" i="1" s="1"/>
  <c r="S208" i="1"/>
  <c r="R208" i="1"/>
  <c r="S207" i="1"/>
  <c r="R207" i="1"/>
  <c r="U207" i="1" s="1"/>
  <c r="S206" i="1"/>
  <c r="R206" i="1"/>
  <c r="S205" i="1"/>
  <c r="R205" i="1"/>
  <c r="S204" i="1"/>
  <c r="R204" i="1"/>
  <c r="U204" i="1" s="1"/>
  <c r="S203" i="1"/>
  <c r="R203" i="1"/>
  <c r="U203" i="1" s="1"/>
  <c r="S202" i="1"/>
  <c r="R202" i="1"/>
  <c r="U202" i="1" s="1"/>
  <c r="S201" i="1"/>
  <c r="R201" i="1"/>
  <c r="U201" i="1" s="1"/>
  <c r="S200" i="1"/>
  <c r="R200" i="1"/>
  <c r="S199" i="1"/>
  <c r="R199" i="1"/>
  <c r="U199" i="1" s="1"/>
  <c r="S198" i="1"/>
  <c r="R198" i="1"/>
  <c r="U198" i="1"/>
  <c r="S197" i="1"/>
  <c r="R197" i="1"/>
  <c r="S196" i="1"/>
  <c r="R196" i="1"/>
  <c r="U195" i="1"/>
  <c r="S195" i="1"/>
  <c r="R195" i="1"/>
  <c r="S194" i="1"/>
  <c r="R194" i="1"/>
  <c r="U194" i="1" s="1"/>
  <c r="S193" i="1"/>
  <c r="R193" i="1"/>
  <c r="S192" i="1"/>
  <c r="R192" i="1"/>
  <c r="S191" i="1"/>
  <c r="R191" i="1"/>
  <c r="S190" i="1"/>
  <c r="R190" i="1"/>
  <c r="S189" i="1"/>
  <c r="R189" i="1"/>
  <c r="U189" i="1" s="1"/>
  <c r="S188" i="1"/>
  <c r="R188" i="1"/>
  <c r="S187" i="1"/>
  <c r="R187" i="1"/>
  <c r="S186" i="1"/>
  <c r="R186" i="1"/>
  <c r="S185" i="1"/>
  <c r="R185" i="1"/>
  <c r="U185" i="1" s="1"/>
  <c r="S184" i="1"/>
  <c r="R184" i="1"/>
  <c r="S183" i="1"/>
  <c r="R183" i="1"/>
  <c r="U183" i="1" s="1"/>
  <c r="S182" i="1"/>
  <c r="R182" i="1"/>
  <c r="S181" i="1"/>
  <c r="R181" i="1"/>
  <c r="S180" i="1"/>
  <c r="R180" i="1"/>
  <c r="U180" i="1" s="1"/>
  <c r="U179" i="1"/>
  <c r="S179" i="1"/>
  <c r="R179" i="1"/>
  <c r="S178" i="1"/>
  <c r="R178" i="1"/>
  <c r="U178" i="1" s="1"/>
  <c r="S177" i="1"/>
  <c r="R177" i="1"/>
  <c r="S176" i="1"/>
  <c r="R176" i="1"/>
  <c r="S175" i="1"/>
  <c r="R175" i="1"/>
  <c r="U175" i="1" s="1"/>
  <c r="S174" i="1"/>
  <c r="R174" i="1"/>
  <c r="U174" i="1" s="1"/>
  <c r="S173" i="1"/>
  <c r="R173" i="1"/>
  <c r="U173" i="1" s="1"/>
  <c r="S172" i="1"/>
  <c r="R172" i="1"/>
  <c r="U172" i="1"/>
  <c r="U171" i="1"/>
  <c r="S171" i="1"/>
  <c r="R171" i="1"/>
  <c r="S170" i="1"/>
  <c r="R170" i="1"/>
  <c r="S169" i="1"/>
  <c r="R169" i="1"/>
  <c r="S168" i="1"/>
  <c r="R168" i="1"/>
  <c r="S167" i="1"/>
  <c r="R167" i="1"/>
  <c r="U167" i="1" s="1"/>
  <c r="S166" i="1"/>
  <c r="R166" i="1"/>
  <c r="S165" i="1"/>
  <c r="R165" i="1"/>
  <c r="U165" i="1" s="1"/>
  <c r="S164" i="1"/>
  <c r="R164" i="1"/>
  <c r="U164" i="1"/>
  <c r="S163" i="1"/>
  <c r="R163" i="1"/>
  <c r="S162" i="1"/>
  <c r="R162" i="1"/>
  <c r="S161" i="1"/>
  <c r="R161" i="1"/>
  <c r="U161" i="1" s="1"/>
  <c r="S160" i="1"/>
  <c r="R160" i="1"/>
  <c r="S159" i="1"/>
  <c r="R159" i="1"/>
  <c r="S158" i="1"/>
  <c r="R158" i="1"/>
  <c r="U158" i="1" s="1"/>
  <c r="S157" i="1"/>
  <c r="R157" i="1"/>
  <c r="U157" i="1" s="1"/>
  <c r="S156" i="1"/>
  <c r="R156" i="1"/>
  <c r="S155" i="1"/>
  <c r="R155" i="1"/>
  <c r="S154" i="1"/>
  <c r="R154" i="1"/>
  <c r="S153" i="1"/>
  <c r="R153" i="1"/>
  <c r="S152" i="1"/>
  <c r="R152" i="1"/>
  <c r="S151" i="1"/>
  <c r="R151" i="1"/>
  <c r="U150" i="1"/>
  <c r="S150" i="1"/>
  <c r="R150" i="1"/>
  <c r="S149" i="1"/>
  <c r="R149" i="1"/>
  <c r="U149" i="1" s="1"/>
  <c r="S148" i="1"/>
  <c r="R148" i="1"/>
  <c r="U148" i="1"/>
  <c r="U147" i="1"/>
  <c r="S147" i="1"/>
  <c r="R147" i="1"/>
  <c r="S146" i="1"/>
  <c r="R146" i="1"/>
  <c r="S145" i="1"/>
  <c r="R145" i="1"/>
  <c r="U145" i="1" s="1"/>
  <c r="S144" i="1"/>
  <c r="R144" i="1"/>
  <c r="S143" i="1"/>
  <c r="R143" i="1"/>
  <c r="U143" i="1" s="1"/>
  <c r="S142" i="1"/>
  <c r="R142" i="1"/>
  <c r="U142" i="1" s="1"/>
  <c r="S141" i="1"/>
  <c r="R141" i="1"/>
  <c r="S140" i="1"/>
  <c r="R140" i="1"/>
  <c r="U139" i="1"/>
  <c r="S139" i="1"/>
  <c r="R139" i="1"/>
  <c r="S138" i="1"/>
  <c r="R138" i="1"/>
  <c r="S137" i="1"/>
  <c r="R137" i="1"/>
  <c r="U137" i="1" s="1"/>
  <c r="S136" i="1"/>
  <c r="R136" i="1"/>
  <c r="S135" i="1"/>
  <c r="R135" i="1"/>
  <c r="U135" i="1" s="1"/>
  <c r="S134" i="1"/>
  <c r="R134" i="1"/>
  <c r="S133" i="1"/>
  <c r="R133" i="1"/>
  <c r="U133" i="1" s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U126" i="1"/>
  <c r="S125" i="1"/>
  <c r="R125" i="1"/>
  <c r="U125" i="1" s="1"/>
  <c r="S124" i="1"/>
  <c r="R124" i="1"/>
  <c r="U124" i="1" s="1"/>
  <c r="S123" i="1"/>
  <c r="R123" i="1"/>
  <c r="S122" i="1"/>
  <c r="R122" i="1"/>
  <c r="S121" i="1"/>
  <c r="R121" i="1"/>
  <c r="U121" i="1" s="1"/>
  <c r="S120" i="1"/>
  <c r="R120" i="1"/>
  <c r="S119" i="1"/>
  <c r="R119" i="1"/>
  <c r="U119" i="1" s="1"/>
  <c r="S118" i="1"/>
  <c r="R118" i="1"/>
  <c r="U118" i="1"/>
  <c r="S117" i="1"/>
  <c r="R117" i="1"/>
  <c r="S116" i="1"/>
  <c r="R116" i="1"/>
  <c r="S115" i="1"/>
  <c r="R115" i="1"/>
  <c r="U115" i="1" s="1"/>
  <c r="S114" i="1"/>
  <c r="R114" i="1"/>
  <c r="S113" i="1"/>
  <c r="R113" i="1"/>
  <c r="U113" i="1" s="1"/>
  <c r="S112" i="1"/>
  <c r="R112" i="1"/>
  <c r="U112" i="1"/>
  <c r="S111" i="1"/>
  <c r="R111" i="1"/>
  <c r="U111" i="1" s="1"/>
  <c r="S110" i="1"/>
  <c r="R110" i="1"/>
  <c r="U109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U104" i="1" s="1"/>
  <c r="S103" i="1"/>
  <c r="R103" i="1"/>
  <c r="U103" i="1" s="1"/>
  <c r="S102" i="1"/>
  <c r="R102" i="1"/>
  <c r="U102" i="1"/>
  <c r="S101" i="1"/>
  <c r="R101" i="1"/>
  <c r="U101" i="1" s="1"/>
  <c r="S100" i="1"/>
  <c r="R100" i="1"/>
  <c r="S99" i="1"/>
  <c r="R99" i="1"/>
  <c r="U99" i="1" s="1"/>
  <c r="S98" i="1"/>
  <c r="R98" i="1"/>
  <c r="S97" i="1"/>
  <c r="R97" i="1"/>
  <c r="S96" i="1"/>
  <c r="R96" i="1"/>
  <c r="S95" i="1"/>
  <c r="R95" i="1"/>
  <c r="U95" i="1"/>
  <c r="S94" i="1"/>
  <c r="R94" i="1"/>
  <c r="U94" i="1"/>
  <c r="S93" i="1"/>
  <c r="R93" i="1"/>
  <c r="U93" i="1" s="1"/>
  <c r="S92" i="1"/>
  <c r="R92" i="1"/>
  <c r="U91" i="1"/>
  <c r="S91" i="1"/>
  <c r="R91" i="1"/>
  <c r="S90" i="1"/>
  <c r="R90" i="1"/>
  <c r="S89" i="1"/>
  <c r="R89" i="1"/>
  <c r="S88" i="1"/>
  <c r="R88" i="1"/>
  <c r="S87" i="1"/>
  <c r="R87" i="1"/>
  <c r="U87" i="1"/>
  <c r="S86" i="1"/>
  <c r="R86" i="1"/>
  <c r="S85" i="1"/>
  <c r="R85" i="1"/>
  <c r="U85" i="1" s="1"/>
  <c r="S84" i="1"/>
  <c r="R84" i="1"/>
  <c r="U84" i="1" s="1"/>
  <c r="U83" i="1"/>
  <c r="S83" i="1"/>
  <c r="R83" i="1"/>
  <c r="S82" i="1"/>
  <c r="R82" i="1"/>
  <c r="S81" i="1"/>
  <c r="R81" i="1"/>
  <c r="U81" i="1" s="1"/>
  <c r="S80" i="1"/>
  <c r="R80" i="1"/>
  <c r="S79" i="1"/>
  <c r="R79" i="1"/>
  <c r="U79" i="1" s="1"/>
  <c r="S78" i="1"/>
  <c r="R78" i="1"/>
  <c r="S77" i="1"/>
  <c r="R77" i="1"/>
  <c r="S76" i="1"/>
  <c r="R76" i="1"/>
  <c r="U76" i="1" s="1"/>
  <c r="S75" i="1"/>
  <c r="R75" i="1"/>
  <c r="S74" i="1"/>
  <c r="R74" i="1"/>
  <c r="S73" i="1"/>
  <c r="R73" i="1"/>
  <c r="S72" i="1"/>
  <c r="R72" i="1"/>
  <c r="U72" i="1" s="1"/>
  <c r="S71" i="1"/>
  <c r="R71" i="1"/>
  <c r="U71" i="1"/>
  <c r="S70" i="1"/>
  <c r="R70" i="1"/>
  <c r="S69" i="1"/>
  <c r="R69" i="1"/>
  <c r="U69" i="1" s="1"/>
  <c r="S68" i="1"/>
  <c r="R68" i="1"/>
  <c r="S67" i="1"/>
  <c r="R67" i="1"/>
  <c r="S66" i="1"/>
  <c r="R66" i="1"/>
  <c r="S65" i="1"/>
  <c r="R65" i="1"/>
  <c r="S64" i="1"/>
  <c r="R64" i="1"/>
  <c r="U64" i="1" s="1"/>
  <c r="S63" i="1"/>
  <c r="R63" i="1"/>
  <c r="S62" i="1"/>
  <c r="R62" i="1"/>
  <c r="U62" i="1" s="1"/>
  <c r="S61" i="1"/>
  <c r="R61" i="1"/>
  <c r="U61" i="1"/>
  <c r="S60" i="1"/>
  <c r="R60" i="1"/>
  <c r="U60" i="1" s="1"/>
  <c r="S59" i="1"/>
  <c r="R59" i="1"/>
  <c r="S58" i="1"/>
  <c r="R58" i="1"/>
  <c r="S57" i="1"/>
  <c r="R57" i="1"/>
  <c r="S56" i="1"/>
  <c r="R56" i="1"/>
  <c r="U56" i="1" s="1"/>
  <c r="S55" i="1"/>
  <c r="R55" i="1"/>
  <c r="S54" i="1"/>
  <c r="R54" i="1"/>
  <c r="U54" i="1" s="1"/>
  <c r="U53" i="1"/>
  <c r="S53" i="1"/>
  <c r="R53" i="1"/>
  <c r="S52" i="1"/>
  <c r="R52" i="1"/>
  <c r="U52" i="1" s="1"/>
  <c r="S51" i="1"/>
  <c r="R51" i="1"/>
  <c r="S50" i="1"/>
  <c r="R50" i="1"/>
  <c r="S49" i="1"/>
  <c r="R49" i="1"/>
  <c r="U49" i="1"/>
  <c r="S48" i="1"/>
  <c r="R48" i="1"/>
  <c r="S47" i="1"/>
  <c r="R47" i="1"/>
  <c r="U46" i="1"/>
  <c r="S46" i="1"/>
  <c r="R46" i="1"/>
  <c r="S45" i="1"/>
  <c r="R45" i="1"/>
  <c r="U45" i="1" s="1"/>
  <c r="S44" i="1"/>
  <c r="R44" i="1"/>
  <c r="U44" i="1" s="1"/>
  <c r="S43" i="1"/>
  <c r="R43" i="1"/>
  <c r="S42" i="1"/>
  <c r="R42" i="1"/>
  <c r="S41" i="1"/>
  <c r="R41" i="1"/>
  <c r="S40" i="1"/>
  <c r="R40" i="1"/>
  <c r="U40" i="1"/>
  <c r="S39" i="1"/>
  <c r="R39" i="1"/>
  <c r="U39" i="1" s="1"/>
  <c r="S38" i="1"/>
  <c r="R38" i="1"/>
  <c r="U38" i="1" s="1"/>
  <c r="S37" i="1"/>
  <c r="R37" i="1"/>
  <c r="S36" i="1"/>
  <c r="R36" i="1"/>
  <c r="S35" i="1"/>
  <c r="R35" i="1"/>
  <c r="S34" i="1"/>
  <c r="R34" i="1"/>
  <c r="S33" i="1"/>
  <c r="R33" i="1"/>
  <c r="U33" i="1"/>
  <c r="S32" i="1"/>
  <c r="R32" i="1"/>
  <c r="S31" i="1"/>
  <c r="R31" i="1"/>
  <c r="U30" i="1"/>
  <c r="S30" i="1"/>
  <c r="R30" i="1"/>
  <c r="S29" i="1"/>
  <c r="R29" i="1"/>
  <c r="U29" i="1" s="1"/>
  <c r="S28" i="1"/>
  <c r="R28" i="1"/>
  <c r="U28" i="1" s="1"/>
  <c r="S27" i="1"/>
  <c r="R27" i="1"/>
  <c r="S26" i="1"/>
  <c r="R26" i="1"/>
  <c r="U26" i="1" s="1"/>
  <c r="S25" i="1"/>
  <c r="R25" i="1"/>
  <c r="S24" i="1"/>
  <c r="R24" i="1"/>
  <c r="U24" i="1"/>
  <c r="S23" i="1"/>
  <c r="R23" i="1"/>
  <c r="U23" i="1" s="1"/>
  <c r="S22" i="1"/>
  <c r="R22" i="1"/>
  <c r="U22" i="1"/>
  <c r="S21" i="1"/>
  <c r="R21" i="1"/>
  <c r="S20" i="1"/>
  <c r="R20" i="1"/>
  <c r="S19" i="1"/>
  <c r="R19" i="1"/>
  <c r="S18" i="1"/>
  <c r="R18" i="1"/>
  <c r="S17" i="1"/>
  <c r="R17" i="1"/>
  <c r="U17" i="1"/>
  <c r="S16" i="1"/>
  <c r="R16" i="1"/>
  <c r="S15" i="1"/>
  <c r="R15" i="1"/>
  <c r="U14" i="1"/>
  <c r="S14" i="1"/>
  <c r="R14" i="1"/>
  <c r="S13" i="1"/>
  <c r="R13" i="1"/>
  <c r="U13" i="1" s="1"/>
  <c r="S12" i="1"/>
  <c r="R12" i="1"/>
  <c r="U12" i="1" s="1"/>
  <c r="S11" i="1"/>
  <c r="R11" i="1"/>
  <c r="U11" i="1" s="1"/>
  <c r="S10" i="1"/>
  <c r="R10" i="1"/>
  <c r="S9" i="1"/>
  <c r="R9" i="1"/>
  <c r="S8" i="1"/>
  <c r="R8" i="1"/>
  <c r="U8" i="1"/>
  <c r="S7" i="1"/>
  <c r="R7" i="1"/>
  <c r="U7" i="1" s="1"/>
  <c r="S6" i="1"/>
  <c r="R6" i="1"/>
  <c r="U6" i="1" s="1"/>
  <c r="S5" i="1"/>
  <c r="R5" i="1"/>
  <c r="S4" i="1"/>
  <c r="R4" i="1"/>
  <c r="S3" i="1"/>
  <c r="R3" i="1"/>
  <c r="S2" i="1"/>
  <c r="R2" i="1"/>
  <c r="U18" i="1" l="1"/>
  <c r="U20" i="1"/>
  <c r="U21" i="1"/>
  <c r="U25" i="1"/>
  <c r="U36" i="1"/>
  <c r="U37" i="1"/>
  <c r="U41" i="1"/>
  <c r="U55" i="1"/>
  <c r="U110" i="1"/>
  <c r="U117" i="1"/>
  <c r="U140" i="1"/>
  <c r="U162" i="1"/>
  <c r="U163" i="1"/>
  <c r="U197" i="1"/>
  <c r="U227" i="1"/>
  <c r="U278" i="1"/>
  <c r="U279" i="1"/>
  <c r="U297" i="1"/>
  <c r="U303" i="1"/>
  <c r="U316" i="1"/>
  <c r="U331" i="1"/>
  <c r="U361" i="1"/>
  <c r="U406" i="1"/>
  <c r="U455" i="1"/>
  <c r="U462" i="1"/>
  <c r="U494" i="1"/>
  <c r="U514" i="1"/>
  <c r="U538" i="1"/>
  <c r="U579" i="1"/>
  <c r="U57" i="1"/>
  <c r="U70" i="1"/>
  <c r="U74" i="1"/>
  <c r="U80" i="1"/>
  <c r="U86" i="1"/>
  <c r="U90" i="1"/>
  <c r="U166" i="1"/>
  <c r="U206" i="1"/>
  <c r="U230" i="1"/>
  <c r="U238" i="1"/>
  <c r="U582" i="1"/>
  <c r="U630" i="1"/>
  <c r="U662" i="1"/>
  <c r="U116" i="1"/>
  <c r="U146" i="1"/>
  <c r="U170" i="1"/>
  <c r="U196" i="1"/>
  <c r="U205" i="1"/>
  <c r="U222" i="1"/>
  <c r="U231" i="1"/>
  <c r="U237" i="1"/>
  <c r="U249" i="1"/>
  <c r="U254" i="1"/>
  <c r="U266" i="1"/>
  <c r="U267" i="1"/>
  <c r="U298" i="1"/>
  <c r="U384" i="1"/>
  <c r="U470" i="1"/>
  <c r="U604" i="1"/>
  <c r="U105" i="1"/>
  <c r="U122" i="1"/>
  <c r="U123" i="1"/>
  <c r="U127" i="1"/>
  <c r="U129" i="1"/>
  <c r="U151" i="1"/>
  <c r="U153" i="1"/>
  <c r="U181" i="1"/>
  <c r="U218" i="1"/>
  <c r="U221" i="1"/>
  <c r="U247" i="1"/>
  <c r="U326" i="1"/>
  <c r="U327" i="1"/>
  <c r="U353" i="1"/>
  <c r="U366" i="1"/>
  <c r="U371" i="1"/>
  <c r="U397" i="1"/>
  <c r="U490" i="1"/>
  <c r="U526" i="1"/>
  <c r="U534" i="1"/>
  <c r="U547" i="1"/>
  <c r="U621" i="1"/>
  <c r="U334" i="1"/>
  <c r="U396" i="1"/>
  <c r="U447" i="1"/>
  <c r="U454" i="1"/>
  <c r="U478" i="1"/>
  <c r="U627" i="1"/>
  <c r="U655" i="1"/>
  <c r="U15" i="1"/>
  <c r="U31" i="1"/>
  <c r="U47" i="1"/>
  <c r="U97" i="1"/>
  <c r="U106" i="1"/>
  <c r="U130" i="1"/>
  <c r="U131" i="1"/>
  <c r="U154" i="1"/>
  <c r="U155" i="1"/>
  <c r="U182" i="1"/>
  <c r="U220" i="1"/>
  <c r="U271" i="1"/>
  <c r="U308" i="1"/>
  <c r="U313" i="1"/>
  <c r="U319" i="1"/>
  <c r="U354" i="1"/>
  <c r="U400" i="1"/>
  <c r="U466" i="1"/>
  <c r="U498" i="1"/>
  <c r="U542" i="1"/>
  <c r="U581" i="1"/>
  <c r="U629" i="1"/>
  <c r="U678" i="1"/>
  <c r="U3" i="1"/>
  <c r="U63" i="1"/>
  <c r="U78" i="1"/>
  <c r="U96" i="1"/>
  <c r="U107" i="1"/>
  <c r="U132" i="1"/>
  <c r="U134" i="1"/>
  <c r="U141" i="1"/>
  <c r="U156" i="1"/>
  <c r="U159" i="1"/>
  <c r="U186" i="1"/>
  <c r="U187" i="1"/>
  <c r="U191" i="1"/>
  <c r="U193" i="1"/>
  <c r="U210" i="1"/>
  <c r="U213" i="1"/>
  <c r="U225" i="1"/>
  <c r="U261" i="1"/>
  <c r="U274" i="1"/>
  <c r="U409" i="1"/>
  <c r="U486" i="1"/>
  <c r="U509" i="1"/>
  <c r="U519" i="1"/>
  <c r="U4" i="1"/>
  <c r="U5" i="1"/>
  <c r="U9" i="1"/>
  <c r="U16" i="1"/>
  <c r="U32" i="1"/>
  <c r="U48" i="1"/>
  <c r="U65" i="1"/>
  <c r="U73" i="1"/>
  <c r="U89" i="1"/>
  <c r="U98" i="1"/>
  <c r="U138" i="1"/>
  <c r="U188" i="1"/>
  <c r="U190" i="1"/>
  <c r="U223" i="1"/>
  <c r="U229" i="1"/>
  <c r="U258" i="1"/>
  <c r="U276" i="1"/>
  <c r="U301" i="1"/>
  <c r="U369" i="1"/>
  <c r="U442" i="1"/>
  <c r="U574" i="1"/>
  <c r="U590" i="1"/>
  <c r="U622" i="1"/>
  <c r="U373" i="1"/>
  <c r="U425" i="1"/>
  <c r="U565" i="1"/>
  <c r="U613" i="1"/>
  <c r="U644" i="1"/>
  <c r="U670" i="1"/>
  <c r="U500" i="1"/>
  <c r="U548" i="1"/>
  <c r="U575" i="1"/>
  <c r="U605" i="1"/>
  <c r="U623" i="1"/>
  <c r="U631" i="1"/>
  <c r="U636" i="1"/>
  <c r="U663" i="1"/>
  <c r="U679" i="1"/>
  <c r="U244" i="1"/>
  <c r="U268" i="1"/>
  <c r="U282" i="1"/>
  <c r="U292" i="1"/>
  <c r="U338" i="1"/>
  <c r="U352" i="1"/>
  <c r="U360" i="1"/>
  <c r="U362" i="1"/>
  <c r="U364" i="1"/>
  <c r="U365" i="1"/>
  <c r="U392" i="1"/>
  <c r="U393" i="1"/>
  <c r="U437" i="1"/>
  <c r="U445" i="1"/>
  <c r="U452" i="1"/>
  <c r="U460" i="1"/>
  <c r="U468" i="1"/>
  <c r="U476" i="1"/>
  <c r="U484" i="1"/>
  <c r="U492" i="1"/>
  <c r="U513" i="1"/>
  <c r="U515" i="1"/>
  <c r="U525" i="1"/>
  <c r="U532" i="1"/>
  <c r="U540" i="1"/>
  <c r="U572" i="1"/>
  <c r="U585" i="1"/>
  <c r="U589" i="1"/>
  <c r="U597" i="1"/>
  <c r="U615" i="1"/>
  <c r="U620" i="1"/>
  <c r="U628" i="1"/>
  <c r="U646" i="1"/>
  <c r="U668" i="1"/>
  <c r="U333" i="1"/>
  <c r="U340" i="1"/>
  <c r="U342" i="1"/>
  <c r="U356" i="1"/>
  <c r="U368" i="1"/>
  <c r="U408" i="1"/>
  <c r="U410" i="1"/>
  <c r="U463" i="1"/>
  <c r="U471" i="1"/>
  <c r="U479" i="1"/>
  <c r="U487" i="1"/>
  <c r="U495" i="1"/>
  <c r="U499" i="1"/>
  <c r="U535" i="1"/>
  <c r="U543" i="1"/>
  <c r="U549" i="1"/>
  <c r="U587" i="1"/>
  <c r="U591" i="1"/>
  <c r="U596" i="1"/>
  <c r="U614" i="1"/>
  <c r="U625" i="1"/>
  <c r="U645" i="1"/>
  <c r="U665" i="1"/>
  <c r="U671" i="1"/>
  <c r="U241" i="1"/>
  <c r="U251" i="1"/>
  <c r="U253" i="1"/>
  <c r="U265" i="1"/>
  <c r="U277" i="1"/>
  <c r="U293" i="1"/>
  <c r="U330" i="1"/>
  <c r="U347" i="1"/>
  <c r="U359" i="1"/>
  <c r="U363" i="1"/>
  <c r="U378" i="1"/>
  <c r="U380" i="1"/>
  <c r="U381" i="1"/>
  <c r="U421" i="1"/>
  <c r="U430" i="1"/>
  <c r="U431" i="1"/>
  <c r="U433" i="1"/>
  <c r="U439" i="1"/>
  <c r="U441" i="1"/>
  <c r="U516" i="1"/>
  <c r="U527" i="1"/>
  <c r="U529" i="1"/>
  <c r="U531" i="1"/>
  <c r="U557" i="1"/>
  <c r="U559" i="1"/>
  <c r="U569" i="1"/>
  <c r="U573" i="1"/>
  <c r="U588" i="1"/>
  <c r="U598" i="1"/>
  <c r="U606" i="1"/>
  <c r="U617" i="1"/>
  <c r="U637" i="1"/>
  <c r="U652" i="1"/>
  <c r="U676" i="1"/>
  <c r="U650" i="1"/>
  <c r="U75" i="1"/>
  <c r="U82" i="1"/>
  <c r="U100" i="1"/>
  <c r="U120" i="1"/>
  <c r="U2" i="1"/>
  <c r="U10" i="1"/>
  <c r="U34" i="1"/>
  <c r="U42" i="1"/>
  <c r="U50" i="1"/>
  <c r="U58" i="1"/>
  <c r="U66" i="1"/>
  <c r="U77" i="1"/>
  <c r="U88" i="1"/>
  <c r="U19" i="1"/>
  <c r="U27" i="1"/>
  <c r="U35" i="1"/>
  <c r="U43" i="1"/>
  <c r="U51" i="1"/>
  <c r="U59" i="1"/>
  <c r="U67" i="1"/>
  <c r="U92" i="1"/>
  <c r="U128" i="1"/>
  <c r="U152" i="1"/>
  <c r="U114" i="1"/>
  <c r="U136" i="1"/>
  <c r="U160" i="1"/>
  <c r="U68" i="1"/>
  <c r="U108" i="1"/>
  <c r="U144" i="1"/>
  <c r="U168" i="1"/>
  <c r="U367" i="1"/>
  <c r="U383" i="1"/>
  <c r="U399" i="1"/>
  <c r="U176" i="1"/>
  <c r="U184" i="1"/>
  <c r="U192" i="1"/>
  <c r="U200" i="1"/>
  <c r="U208" i="1"/>
  <c r="U216" i="1"/>
  <c r="U224" i="1"/>
  <c r="U232" i="1"/>
  <c r="U240" i="1"/>
  <c r="U248" i="1"/>
  <c r="U256" i="1"/>
  <c r="U264" i="1"/>
  <c r="U272" i="1"/>
  <c r="U280" i="1"/>
  <c r="U288" i="1"/>
  <c r="U296" i="1"/>
  <c r="U304" i="1"/>
  <c r="U312" i="1"/>
  <c r="U320" i="1"/>
  <c r="U328" i="1"/>
  <c r="U336" i="1"/>
  <c r="U346" i="1"/>
  <c r="U357" i="1"/>
  <c r="U169" i="1"/>
  <c r="U177" i="1"/>
  <c r="U407" i="1"/>
  <c r="U416" i="1"/>
  <c r="U432" i="1"/>
  <c r="U436" i="1"/>
  <c r="U444" i="1"/>
  <c r="U420" i="1"/>
  <c r="U424" i="1"/>
  <c r="U428" i="1"/>
  <c r="U343" i="1"/>
  <c r="U348" i="1"/>
  <c r="U372" i="1"/>
  <c r="U379" i="1"/>
  <c r="U388" i="1"/>
  <c r="U395" i="1"/>
  <c r="U404" i="1"/>
  <c r="U411" i="1"/>
  <c r="U440" i="1"/>
  <c r="U448" i="1"/>
  <c r="U456" i="1"/>
  <c r="U464" i="1"/>
  <c r="U472" i="1"/>
  <c r="U480" i="1"/>
  <c r="U488" i="1"/>
  <c r="U496" i="1"/>
  <c r="U504" i="1"/>
  <c r="U512" i="1"/>
  <c r="U520" i="1"/>
  <c r="U528" i="1"/>
  <c r="U536" i="1"/>
  <c r="U544" i="1"/>
  <c r="U552" i="1"/>
  <c r="U560" i="1"/>
  <c r="U568" i="1"/>
  <c r="U576" i="1"/>
  <c r="U584" i="1"/>
  <c r="U592" i="1"/>
  <c r="U600" i="1"/>
  <c r="U608" i="1"/>
  <c r="U616" i="1"/>
  <c r="U624" i="1"/>
  <c r="U632" i="1"/>
  <c r="U640" i="1"/>
  <c r="U648" i="1"/>
  <c r="U656" i="1"/>
  <c r="U664" i="1"/>
  <c r="U672" i="1"/>
  <c r="U673" i="1"/>
</calcChain>
</file>

<file path=xl/sharedStrings.xml><?xml version="1.0" encoding="utf-8"?>
<sst xmlns="http://schemas.openxmlformats.org/spreadsheetml/2006/main" count="5845" uniqueCount="1411">
  <si>
    <t>Exchange:Ticker</t>
  </si>
  <si>
    <t>Return on Capital</t>
  </si>
  <si>
    <t>EPS growth</t>
  </si>
  <si>
    <t>Revenue growth</t>
  </si>
  <si>
    <t>PE Ratio</t>
  </si>
  <si>
    <t>Return on Assets</t>
  </si>
  <si>
    <t>Return on equity</t>
  </si>
  <si>
    <t>Current ratio</t>
  </si>
  <si>
    <t>Asset turnover</t>
  </si>
  <si>
    <t>Profit margin</t>
  </si>
  <si>
    <t>P/B</t>
  </si>
  <si>
    <t>TEV/EBITDA</t>
  </si>
  <si>
    <t>free cash flow</t>
  </si>
  <si>
    <t>net income</t>
  </si>
  <si>
    <t>free cash flow realisation</t>
  </si>
  <si>
    <t>total debt</t>
  </si>
  <si>
    <t>Debt to equity</t>
  </si>
  <si>
    <t>Cash flow to debt ratio</t>
  </si>
  <si>
    <t>Company name</t>
  </si>
  <si>
    <t>Industry</t>
  </si>
  <si>
    <t>Market Capitalization ($M)</t>
  </si>
  <si>
    <t>Geography</t>
  </si>
  <si>
    <t>NASDAQCM:ABL</t>
  </si>
  <si>
    <t>Abacus Life, Inc. (NASDAQCM:ABL)</t>
  </si>
  <si>
    <t>Insurance Broker</t>
  </si>
  <si>
    <t>United States and Canada</t>
  </si>
  <si>
    <t>NASDAQGS:ACTG</t>
  </si>
  <si>
    <t>Acacia Research Corporation (NASDAQGS:ACTG)</t>
  </si>
  <si>
    <t>Specialty Finance: Commercial Focused</t>
  </si>
  <si>
    <t>NASDAQGS:ACIW</t>
  </si>
  <si>
    <t>ACI Worldwide, Inc. (NASDAQGS:ACIW)</t>
  </si>
  <si>
    <t>Payments Infrastructure</t>
  </si>
  <si>
    <t>NASDAQCM:ACNB</t>
  </si>
  <si>
    <t>ACNB Corporation (NASDAQCM:ACNB)</t>
  </si>
  <si>
    <t>Bank</t>
  </si>
  <si>
    <t>NYSE:ADX</t>
  </si>
  <si>
    <t>Adams Diversified Equity Fund, Inc. (NYSE:ADX)</t>
  </si>
  <si>
    <t>Asset Management</t>
  </si>
  <si>
    <t>NYSE:PEO</t>
  </si>
  <si>
    <t>Adams Natural Resources Fund, Inc. (NYSE:PEO)</t>
  </si>
  <si>
    <t>SNSE:AFPCAPITAL</t>
  </si>
  <si>
    <t>Administradora de Fondos de Pensiones Capital S.A. (SNSE:AFPCAPITAL)</t>
  </si>
  <si>
    <t>Latin America and Caribbean</t>
  </si>
  <si>
    <t>SNSE:CUPRUM</t>
  </si>
  <si>
    <t>Administradora de Fondos de Pensiones Cuprum S.A. (SNSE:CUPRUM)</t>
  </si>
  <si>
    <t>SNSE:HABITAT</t>
  </si>
  <si>
    <t>Administradora de Fondos de Pensiones Habitat S.A. (SNSE:HABITAT)</t>
  </si>
  <si>
    <t>SNSE:PROVIDA</t>
  </si>
  <si>
    <t>Administradora de Fondos de Pensiones Provida S.A. (SNSE:PROVIDA)</t>
  </si>
  <si>
    <t>BVC:PROTECCION</t>
  </si>
  <si>
    <t>Administradora de Fondos de Pensiones y Cesantías Protección S.A. (BVC:PROTECCION)</t>
  </si>
  <si>
    <t>LSE:ADMR</t>
  </si>
  <si>
    <t>Admiral Acquisition Limited (LSE:ADMR)</t>
  </si>
  <si>
    <t>NYSE:AMG</t>
  </si>
  <si>
    <t>Affiliated Managers Group, Inc. (NYSE:AMG)</t>
  </si>
  <si>
    <t>NASDAQGS:AFRM</t>
  </si>
  <si>
    <t>Affirm Holdings, Inc. (NASDAQGS:AFRM)</t>
  </si>
  <si>
    <t>Payment Processors</t>
  </si>
  <si>
    <t>NYSE:AFL</t>
  </si>
  <si>
    <t>Aflac Incorporated (NYSE:AFL)</t>
  </si>
  <si>
    <t>Life and Health</t>
  </si>
  <si>
    <t>TSX:AGF.B</t>
  </si>
  <si>
    <t>AGF Management Limited (TSX:AGF.B)</t>
  </si>
  <si>
    <t>NASDAQGS:AGNC</t>
  </si>
  <si>
    <t>AGNC Investment Corp. (NASDAQGS:AGNC)</t>
  </si>
  <si>
    <t>Mortgage REIT</t>
  </si>
  <si>
    <t>NASDAQGM:ANSC</t>
  </si>
  <si>
    <t>Agriculture &amp; Natural Solutions Acquisition Corporation (NASDAQGM:ANSC)</t>
  </si>
  <si>
    <t>TSX:AD.UN</t>
  </si>
  <si>
    <t>Alaris Equity Partners Income Trust (TSX:AD.UN)</t>
  </si>
  <si>
    <t>NASDAQCM:ALRS</t>
  </si>
  <si>
    <t>Alerus Financial Corporation (NASDAQCM:ALRS)</t>
  </si>
  <si>
    <t>NASDAQGS:ALHC</t>
  </si>
  <si>
    <t>Alignment Healthcare, Inc. (NASDAQGS:ALHC)</t>
  </si>
  <si>
    <t>Managed Care</t>
  </si>
  <si>
    <t>NASDAQGS:ALKT</t>
  </si>
  <si>
    <t>Alkami Technology, Inc. (NASDAQGS:ALKT)</t>
  </si>
  <si>
    <t>Banking Technology</t>
  </si>
  <si>
    <t>NYSE:AB</t>
  </si>
  <si>
    <t>AllianceBernstein Holding L.P. (NYSE:AB)</t>
  </si>
  <si>
    <t>NYSE:ALLY</t>
  </si>
  <si>
    <t>Ally Financial Inc. (NYSE:ALLY)</t>
  </si>
  <si>
    <t>Digital Lending</t>
  </si>
  <si>
    <t>OTCQX:ALPI.B</t>
  </si>
  <si>
    <t>Alpine Banks of Colorado (OTCQX:ALPI.B)</t>
  </si>
  <si>
    <t>NYSE:ALCC</t>
  </si>
  <si>
    <t>AltC Acquisition Corp. (NYSE:ALCC)</t>
  </si>
  <si>
    <t>NASDAQCM:ALTI</t>
  </si>
  <si>
    <t>AlTi Global, Inc. (NASDAQCM:ALTI)</t>
  </si>
  <si>
    <t>NASDAQGM:AMAL</t>
  </si>
  <si>
    <t>Amalgamated Financial Corp. (NASDAQGM:AMAL)</t>
  </si>
  <si>
    <t>NASDAQGS:AMRK</t>
  </si>
  <si>
    <t>A-Mark Precious Metals, Inc. (NASDAQGS:AMRK)</t>
  </si>
  <si>
    <t>NYSE:AMBC</t>
  </si>
  <si>
    <t>Ambac Financial Group, Inc. (NYSE:AMBC)</t>
  </si>
  <si>
    <t>Property and Casualty</t>
  </si>
  <si>
    <t>NYSE:AMTB</t>
  </si>
  <si>
    <t>Amerant Bancorp Inc. (NYSE:AMTB)</t>
  </si>
  <si>
    <t>OTCQX:AMBZ</t>
  </si>
  <si>
    <t>American Business Bank (OTCQX:AMBZ)</t>
  </si>
  <si>
    <t>NASDAQCM:ACIC</t>
  </si>
  <si>
    <t>American Coastal Insurance Corporation (NASDAQCM:ACIC)</t>
  </si>
  <si>
    <t>NYSE:AEL</t>
  </si>
  <si>
    <t>American Equity Investment Life Holding Company (NYSE:AEL)</t>
  </si>
  <si>
    <t>NYSE:AFG</t>
  </si>
  <si>
    <t>American Financial Group, Inc. (NYSE:AFG)</t>
  </si>
  <si>
    <t>NYSE:AIG</t>
  </si>
  <si>
    <t>American International Group, Inc. (NYSE:AIG)</t>
  </si>
  <si>
    <t>Multiline</t>
  </si>
  <si>
    <t>NASDAQGS:AMNB</t>
  </si>
  <si>
    <t>American National Bankshares Inc. (NASDAQGS:AMNB)</t>
  </si>
  <si>
    <t>NYSE:AMP</t>
  </si>
  <si>
    <t>Ameriprise Financial, Inc. (NYSE:AMP)</t>
  </si>
  <si>
    <t>NASDAQGS:ABCB</t>
  </si>
  <si>
    <t>Ameris Bancorp (NASDAQGS:ABCB)</t>
  </si>
  <si>
    <t>NASDAQGS:AMSF</t>
  </si>
  <si>
    <t>AMERISAFE, Inc. (NASDAQGS:AMSF)</t>
  </si>
  <si>
    <t>OTCEM:AFIP.A</t>
  </si>
  <si>
    <t>AMFI Corp. (OTCEM:AFIP.A)</t>
  </si>
  <si>
    <t>NYSE:NLY</t>
  </si>
  <si>
    <t>Annaly Capital Management, Inc. (NYSE:NLY)</t>
  </si>
  <si>
    <t>TTSE:AMCL</t>
  </si>
  <si>
    <t>ANSA McAL Limited (TTSE:AMCL)</t>
  </si>
  <si>
    <t>Holding Companies, Patent Owners, and Trusts or Estates</t>
  </si>
  <si>
    <t>TTSE:AMBL</t>
  </si>
  <si>
    <t>ANSA Merchant Bank Limited (TTSE:AMBL)</t>
  </si>
  <si>
    <t>NYSE:ARI</t>
  </si>
  <si>
    <t>Apollo Commercial Real Estate Finance, Inc. (NYSE:ARI)</t>
  </si>
  <si>
    <t>NYSE:ABR</t>
  </si>
  <si>
    <t>Arbor Realty Trust, Inc. (NYSE:ABR)</t>
  </si>
  <si>
    <t>NASDAQGS:ACGL</t>
  </si>
  <si>
    <t>Arch Capital Group Ltd. (NASDAQGS:ACGL)</t>
  </si>
  <si>
    <t>NYSE:AACT</t>
  </si>
  <si>
    <t>Ares Acquisition Corporation II (NYSE:AACT)</t>
  </si>
  <si>
    <t>NYSE:ACRE</t>
  </si>
  <si>
    <t>Ares Commercial Real Estate Corporation (NYSE:ACRE)</t>
  </si>
  <si>
    <t>NYSE:ARES</t>
  </si>
  <si>
    <t>Ares Management Corporation (NYSE:ARES)</t>
  </si>
  <si>
    <t>NYSE:ARR</t>
  </si>
  <si>
    <t>ARMOUR Residential REIT, Inc. (NYSE:ARR)</t>
  </si>
  <si>
    <t>NASDAQGS:AROW</t>
  </si>
  <si>
    <t>Arrow Financial Corporation (NASDAQGS:AROW)</t>
  </si>
  <si>
    <t>NYSE:APAM</t>
  </si>
  <si>
    <t>Artisan Partners Asset Management Inc. (NYSE:APAM)</t>
  </si>
  <si>
    <t>NYSE:AMK</t>
  </si>
  <si>
    <t>AssetMark Financial Holdings, Inc. (NYSE:AMK)</t>
  </si>
  <si>
    <t>NYSE:ASB</t>
  </si>
  <si>
    <t>Associated Banc-Corp (NYSE:ASB)</t>
  </si>
  <si>
    <t>NYSE:AC</t>
  </si>
  <si>
    <t>Associated Capital Group, Inc. (NYSE:AC)</t>
  </si>
  <si>
    <t>NYSE:AIZ</t>
  </si>
  <si>
    <t>Assurant, Inc. (NYSE:AIZ)</t>
  </si>
  <si>
    <t>NYSE:AGO</t>
  </si>
  <si>
    <t>Assured Guaranty Ltd. (NYSE:AGO)</t>
  </si>
  <si>
    <t>OTCPK:ABIT</t>
  </si>
  <si>
    <t>Athena Bitcoin Global (OTCPK:ABIT)</t>
  </si>
  <si>
    <t>Financial Media and Data Solutions</t>
  </si>
  <si>
    <t>NYSE:AUB</t>
  </si>
  <si>
    <t>Atlantic Union Bankshares Corporation (NYSE:AUB)</t>
  </si>
  <si>
    <t>NASDAQGS:ATLC</t>
  </si>
  <si>
    <t>Atlanticus Holdings Corporation (NASDAQGS:ATLC)</t>
  </si>
  <si>
    <t>Specialty Finance: Consumer Focused</t>
  </si>
  <si>
    <t>TSX:AI</t>
  </si>
  <si>
    <t>Atrium Mortgage Investment Corporation (TSX:AI)</t>
  </si>
  <si>
    <t>Mortgage Banks and Brokers</t>
  </si>
  <si>
    <t>NASDAQGS:AVDX</t>
  </si>
  <si>
    <t>AvidXchange Holdings, Inc. (NASDAQGS:AVDX)</t>
  </si>
  <si>
    <t>Payment Service Providers and Gateways</t>
  </si>
  <si>
    <t>NYSE:AXS</t>
  </si>
  <si>
    <t>AXIS Capital Holdings Limited (NYSE:AXS)</t>
  </si>
  <si>
    <t>NYSE:AX</t>
  </si>
  <si>
    <t>Axos Financial, Inc. (NYSE:AX)</t>
  </si>
  <si>
    <t>NASDAQGM:RILY</t>
  </si>
  <si>
    <t>B. Riley Financial, Inc. (NASDAQGM:RILY)</t>
  </si>
  <si>
    <t>Investment Banks, Brokers and Capital Markets</t>
  </si>
  <si>
    <t>BOVESPA:B3SA3</t>
  </si>
  <si>
    <t>B3 S.A. - Brasil, Bolsa, Balcão (BOVESPA:B3SA3)</t>
  </si>
  <si>
    <t>Financial Exchanges</t>
  </si>
  <si>
    <t>BVC:BHI</t>
  </si>
  <si>
    <t>BAC Holding International Corp. (BVC:BHI)</t>
  </si>
  <si>
    <t>NYSE:BANC</t>
  </si>
  <si>
    <t>Banc of California, Inc. (NYSE:BANC)</t>
  </si>
  <si>
    <t>NASDAQGS:BANF</t>
  </si>
  <si>
    <t>BancFirst Corporation (NASDAQGS:BANF)</t>
  </si>
  <si>
    <t>BOVESPA:ABCB4</t>
  </si>
  <si>
    <t>Banco ABC Brasil S.A. (BOVESPA:ABCB4)</t>
  </si>
  <si>
    <t>BASE:BBAR</t>
  </si>
  <si>
    <t>Banco BBVA Argentina S.A. (BASE:BBAR)</t>
  </si>
  <si>
    <t>BVL:BBVAC1</t>
  </si>
  <si>
    <t>Banco BBVA Perú, S.A. (BVL:BBVAC1)</t>
  </si>
  <si>
    <t>BVC:BBVACOL</t>
  </si>
  <si>
    <t>Banco Bilbao Vizcaya Argentaria Colombia S.A. (BVC:BBVACOL)</t>
  </si>
  <si>
    <t>BOVESPA:BMGB4</t>
  </si>
  <si>
    <t>Banco BMG S.A. (BOVESPA:BMGB4)</t>
  </si>
  <si>
    <t>GYSE:BLD</t>
  </si>
  <si>
    <t>Banco Bolivariano C.A. (GYSE:BLD)</t>
  </si>
  <si>
    <t>BOVESPA:BBDC4</t>
  </si>
  <si>
    <t>Banco Bradesco S.A. (BOVESPA:BBDC4)</t>
  </si>
  <si>
    <t>BOVESPA:BPAC11</t>
  </si>
  <si>
    <t>Banco BTG Pactual S.A. (BOVESPA:BPAC11)</t>
  </si>
  <si>
    <t>BOVESPA:BAZA3</t>
  </si>
  <si>
    <t>Banco da Amazônia S.A. (BOVESPA:BAZA3)</t>
  </si>
  <si>
    <t>BVC:PFDAVVNDA</t>
  </si>
  <si>
    <t>Banco Davivienda S.A. (BVC:PFDAVVNDA)</t>
  </si>
  <si>
    <t>BVC:BOGOTA</t>
  </si>
  <si>
    <t>Banco de Bogotá S.A. (BVC:BOGOTA)</t>
  </si>
  <si>
    <t>SNSE:CHILE</t>
  </si>
  <si>
    <t>Banco de Chile (SNSE:CHILE)</t>
  </si>
  <si>
    <t>BVL:CREDITC1</t>
  </si>
  <si>
    <t>Banco de Crédito del Perú S.A. (BVL:CREDITC1)</t>
  </si>
  <si>
    <t>SNSE:BCI</t>
  </si>
  <si>
    <t>Banco de Crédito e Inversiones (SNSE:BCI)</t>
  </si>
  <si>
    <t>GYSE:PRE</t>
  </si>
  <si>
    <t>Banco de la Producción S.A. Produbanco (GYSE:PRE)</t>
  </si>
  <si>
    <t>BVC:OCCIDENTE</t>
  </si>
  <si>
    <t>Banco de Occidente S.A. (BVC:OCCIDENTE)</t>
  </si>
  <si>
    <t>BMV:BBAJIO O</t>
  </si>
  <si>
    <t>Banco del Bajío, S.A., Institución de Banca Múltiple (BMV:BBAJIO O)</t>
  </si>
  <si>
    <t>BOVESPA:BBAS3</t>
  </si>
  <si>
    <t>Banco do Brasil S.A. (BOVESPA:BBAS3)</t>
  </si>
  <si>
    <t>BOVESPA:BRSR6</t>
  </si>
  <si>
    <t>Banco do Estado do Rio Grande do Sul S.A. (BOVESPA:BRSR6)</t>
  </si>
  <si>
    <t>BOVESPA:BNBR3</t>
  </si>
  <si>
    <t>Banco do Nordeste do Brasil S.A. (BOVESPA:BNBR3)</t>
  </si>
  <si>
    <t>Development Bank</t>
  </si>
  <si>
    <t>GYSE:GYL</t>
  </si>
  <si>
    <t>Banco Guayaquil S.A. (GYSE:GYL)</t>
  </si>
  <si>
    <t>BASE:BHIP</t>
  </si>
  <si>
    <t>Banco Hipotecario S.A. (BASE:BHIP)</t>
  </si>
  <si>
    <t>BVL:INTERBC1</t>
  </si>
  <si>
    <t>Banco Internacional del Perú S.A.A. - Interbank (BVL:INTERBC1)</t>
  </si>
  <si>
    <t>SNSE:ITAUCL</t>
  </si>
  <si>
    <t>Banco Itaú Chile (SNSE:ITAUCL)</t>
  </si>
  <si>
    <t>NYSE:BLX</t>
  </si>
  <si>
    <t>Banco Latinoamericano de Comercio Exterior, S. A. (NYSE:BLX)</t>
  </si>
  <si>
    <t>BASE:BMA</t>
  </si>
  <si>
    <t>Banco Macro S.A. (BASE:BMA)</t>
  </si>
  <si>
    <t>BOVESPA:BMEB4</t>
  </si>
  <si>
    <t>Banco Mercantil do Brasil S.A. (BOVESPA:BMEB4)</t>
  </si>
  <si>
    <t>CCSE:BNC</t>
  </si>
  <si>
    <t>Banco Nacional de Crédito, C.A., Banco Universal (CCSE:BNC)</t>
  </si>
  <si>
    <t>BOVESPA:BPAN4</t>
  </si>
  <si>
    <t>Banco Pan S.A. (BOVESPA:BPAN4)</t>
  </si>
  <si>
    <t>BASE:BPAT</t>
  </si>
  <si>
    <t>Banco Patagonia S.A. (BASE:BPAT)</t>
  </si>
  <si>
    <t>GYSE:PCD</t>
  </si>
  <si>
    <t>Banco Pichincha C.A. (GYSE:PCD)</t>
  </si>
  <si>
    <t>BVC:POPULAR</t>
  </si>
  <si>
    <t>Banco Popular S.A. (BVC:POPULAR)</t>
  </si>
  <si>
    <t>BOVESPA:SANB4</t>
  </si>
  <si>
    <t>Banco Santander (Brasil) S.A. (BOVESPA:SANB4)</t>
  </si>
  <si>
    <t>SNSE:BSANTANDER</t>
  </si>
  <si>
    <t>Banco Santander-Chile (SNSE:BSANTANDER)</t>
  </si>
  <si>
    <t>BVC:BCOLOMBIA</t>
  </si>
  <si>
    <t>Bancolombia S.A. (BVC:BCOLOMBIA)</t>
  </si>
  <si>
    <t>BOVESPA:BEES3</t>
  </si>
  <si>
    <t>Banestes S.A - Banco do Estado do Espírito Santo (BOVESPA:BEES3)</t>
  </si>
  <si>
    <t>NASDAQCM:BFC</t>
  </si>
  <si>
    <t>Bank First Corporation (NASDAQCM:BFC)</t>
  </si>
  <si>
    <t>NYSE:BOH</t>
  </si>
  <si>
    <t>Bank of Hawaii Corporation (NYSE:BOH)</t>
  </si>
  <si>
    <t>NASDAQCM:BMRC</t>
  </si>
  <si>
    <t>Bank of Marin Bancorp (NASDAQCM:BMRC)</t>
  </si>
  <si>
    <t>NASDAQGS:OZK</t>
  </si>
  <si>
    <t>Bank OZK (NASDAQGS:OZK)</t>
  </si>
  <si>
    <t>NYSE:BKU</t>
  </si>
  <si>
    <t>BankUnited, Inc. (NYSE:BKU)</t>
  </si>
  <si>
    <t>NASDAQGS:BANR</t>
  </si>
  <si>
    <t>Banner Corporation (NASDAQGS:BANR)</t>
  </si>
  <si>
    <t>SNSE:BANVIDA</t>
  </si>
  <si>
    <t>Banvida S.A. (SNSE:BANVIDA)</t>
  </si>
  <si>
    <t>NYSEAM:BHB</t>
  </si>
  <si>
    <t>Bar Harbor Bankshares (NYSEAM:BHB)</t>
  </si>
  <si>
    <t>JMSE:BIL</t>
  </si>
  <si>
    <t>Barita Investments Limited (JMSE:BIL)</t>
  </si>
  <si>
    <t>BOVESPA:BBSE3</t>
  </si>
  <si>
    <t>BB Seguridade Participações S.A. (BOVESPA:BBSE3)</t>
  </si>
  <si>
    <t>NYSE:BHLB</t>
  </si>
  <si>
    <t>Berkshire Hills Bancorp, Inc. (NYSE:BHLB)</t>
  </si>
  <si>
    <t>NASDAQGM:BETR</t>
  </si>
  <si>
    <t>Better Home &amp; Finance Holding Company (NASDAQGM:BETR)</t>
  </si>
  <si>
    <t>NASDAQGS:BGC</t>
  </si>
  <si>
    <t>BGC Group, Inc. (NASDAQGS:BGC)</t>
  </si>
  <si>
    <t>SNSE:BICECORP</t>
  </si>
  <si>
    <t>Bicecorp S.A. (SNSE:BICECORP)</t>
  </si>
  <si>
    <t>NYSE:BXMT</t>
  </si>
  <si>
    <t>Blackstone Mortgage Trust, Inc. (NYSE:BXMT)</t>
  </si>
  <si>
    <t>NYSE:BLND</t>
  </si>
  <si>
    <t>Blend Labs, Inc. (NYSE:BLND)</t>
  </si>
  <si>
    <t>NYSE:SQ</t>
  </si>
  <si>
    <t>Block, Inc. (NYSE:SQ)</t>
  </si>
  <si>
    <t>NYSE:OWL</t>
  </si>
  <si>
    <t>Blue Owl Capital Inc. (NYSE:OWL)</t>
  </si>
  <si>
    <t>NASDAQGS:BOKF</t>
  </si>
  <si>
    <t>BOK Financial Corporation (NASDAQGS:BOKF)</t>
  </si>
  <si>
    <t>AIM:BOKU</t>
  </si>
  <si>
    <t>Boku, Inc. (AIM:BOKU)</t>
  </si>
  <si>
    <t>BMV:BOLSA A</t>
  </si>
  <si>
    <t>Bolsa Mexicana de Valores, S.A.B. de C.V. (BMV:BOLSA A)</t>
  </si>
  <si>
    <t>BASE:BYMA</t>
  </si>
  <si>
    <t>Bolsas y Mercados Argentinos S.A. (BASE:BYMA)</t>
  </si>
  <si>
    <t>BOVESPA:BRBI11</t>
  </si>
  <si>
    <t>BR Advisory Partners Participações S.A. (BOVESPA:BRBI11)</t>
  </si>
  <si>
    <t>BOVESPA:BSLI4</t>
  </si>
  <si>
    <t>BRB - Banco de Brasília S.A. (BOVESPA:BSLI4)</t>
  </si>
  <si>
    <t>NYSE:BFH</t>
  </si>
  <si>
    <t>Bread Financial Holdings, Inc. (NYSE:BFH)</t>
  </si>
  <si>
    <t>NYSE:BRDG</t>
  </si>
  <si>
    <t>Bridge Investment Group Holdings Inc. (NYSE:BRDG)</t>
  </si>
  <si>
    <t>NASDAQCM:BWB</t>
  </si>
  <si>
    <t>Bridgewater Bancshares, Inc. (NASDAQCM:BWB)</t>
  </si>
  <si>
    <t>NASDAQGS:BHF</t>
  </si>
  <si>
    <t>Brighthouse Financial, Inc. (NASDAQGS:BHF)</t>
  </si>
  <si>
    <t>NYSE:BSIG</t>
  </si>
  <si>
    <t>BrightSphere Investment Group Inc. (NYSE:BSIG)</t>
  </si>
  <si>
    <t>NYSE:BRSP</t>
  </si>
  <si>
    <t>BrightSpire Capital, Inc. (NYSE:BRSP)</t>
  </si>
  <si>
    <t>NYSE:BR</t>
  </si>
  <si>
    <t>Broadridge Financial Solutions, Inc. (NYSE:BR)</t>
  </si>
  <si>
    <t>Investment and Capital Markets Technology</t>
  </si>
  <si>
    <t>TSX:BAM</t>
  </si>
  <si>
    <t>Brookfield Asset Management Ltd. (TSX:BAM)</t>
  </si>
  <si>
    <t>NYSE:BNRE</t>
  </si>
  <si>
    <t>Brookfield Reinsurance Ltd. (NYSE:BNRE)</t>
  </si>
  <si>
    <t>Reinsurance</t>
  </si>
  <si>
    <t>NASDAQGS:BRKL</t>
  </si>
  <si>
    <t>Brookline Bancorp, Inc. (NASDAQGS:BRKL)</t>
  </si>
  <si>
    <t>NYSE:BRO</t>
  </si>
  <si>
    <t>Brown &amp; Brown, Inc. (NYSE:BRO)</t>
  </si>
  <si>
    <t>NASDAQGS:BRP</t>
  </si>
  <si>
    <t>BRP Group, Inc. (NASDAQGS:BRP)</t>
  </si>
  <si>
    <t>NASDAQCM:BHRB</t>
  </si>
  <si>
    <t>Burke &amp; Herbert Financial Services Corp. (NASDAQCM:BHRB)</t>
  </si>
  <si>
    <t>NASDAQGS:BFST</t>
  </si>
  <si>
    <t>Business First Bancshares, Inc. (NASDAQGS:BFST)</t>
  </si>
  <si>
    <t>NYSE:BY</t>
  </si>
  <si>
    <t>Byline Bancorp, Inc. (NYSE:BY)</t>
  </si>
  <si>
    <t>NYSE:CADE</t>
  </si>
  <si>
    <t>Cadence Bank (NYSE:CADE)</t>
  </si>
  <si>
    <t>BOVESPA:CXSE3</t>
  </si>
  <si>
    <t>Caixa Seguridade Participações S.A. (BOVESPA:CXSE3)</t>
  </si>
  <si>
    <t>NASDAQCM:CATC</t>
  </si>
  <si>
    <t>Cambridge Bancorp (NASDAQCM:CATC)</t>
  </si>
  <si>
    <t>NASDAQGS:CAC</t>
  </si>
  <si>
    <t>Camden National Corporation (NASDAQGS:CAC)</t>
  </si>
  <si>
    <t>TSX:CF</t>
  </si>
  <si>
    <t>Canaccord Genuity Group Inc. (TSX:CF)</t>
  </si>
  <si>
    <t>TSX:CM</t>
  </si>
  <si>
    <t>Canadian Imperial Bank of Commerce (TSX:CM)</t>
  </si>
  <si>
    <t>TSX:CWB</t>
  </si>
  <si>
    <t>Canadian Western Bank (TSX:CWB)</t>
  </si>
  <si>
    <t>OTCEM:CNND</t>
  </si>
  <si>
    <t>Canandaigua National Corporation (OTCEM:CNND)</t>
  </si>
  <si>
    <t>NYSE:CNNE</t>
  </si>
  <si>
    <t>Cannae Holdings, Inc. (NYSE:CNNE)</t>
  </si>
  <si>
    <t>NASDAQGS:CTLP</t>
  </si>
  <si>
    <t>Cantaloupe, Inc. (NASDAQGS:CTLP)</t>
  </si>
  <si>
    <t>NASDAQGS:CBNK</t>
  </si>
  <si>
    <t>Capital Bancorp, Inc. (NASDAQGS:CBNK)</t>
  </si>
  <si>
    <t>NASDAQGS:CCBG</t>
  </si>
  <si>
    <t>Capital City Bank Group, Inc. (NASDAQGS:CCBG)</t>
  </si>
  <si>
    <t>NASDAQGS:CSWC</t>
  </si>
  <si>
    <t>Capital Southwest Corporation (NASDAQGS:CSWC)</t>
  </si>
  <si>
    <t>Investment and Business Development Companies</t>
  </si>
  <si>
    <t>NASDAQGS:CFFN</t>
  </si>
  <si>
    <t>Capitol Federal Financial, Inc. (NASDAQGS:CFFN)</t>
  </si>
  <si>
    <t>NASDAQGS:CSTR</t>
  </si>
  <si>
    <t>CapStar Financial Holdings, Inc. (NASDAQGS:CSTR)</t>
  </si>
  <si>
    <t>NASDAQGS:CARE</t>
  </si>
  <si>
    <t>Carter Bankshares, Inc. (NASDAQGS:CARE)</t>
  </si>
  <si>
    <t>NASDAQGM:RENE</t>
  </si>
  <si>
    <t>Cartesian Growth Corporation II (NASDAQGM:RENE)</t>
  </si>
  <si>
    <t>NASDAQGS:CASS</t>
  </si>
  <si>
    <t>Cass Information Systems, Inc. (NASDAQGS:CASS)</t>
  </si>
  <si>
    <t>NASDAQGS:CATY</t>
  </si>
  <si>
    <t>Cathay General Bancorp (NASDAQGS:CATY)</t>
  </si>
  <si>
    <t>BATS:CBOE</t>
  </si>
  <si>
    <t>Cboe Global Markets, Inc. (BATS:CBOE)</t>
  </si>
  <si>
    <t>NYSE:CNC</t>
  </si>
  <si>
    <t>Centene Corporation (NYSE:CNC)</t>
  </si>
  <si>
    <t>OTCPK:CBCY.B</t>
  </si>
  <si>
    <t>Central Bancompany, Inc. (OTCPK:CBCY.B)</t>
  </si>
  <si>
    <t>NYSE:CPF</t>
  </si>
  <si>
    <t>Central Pacific Financial Corp. (NYSE:CPF)</t>
  </si>
  <si>
    <t>NYSEAM:CET</t>
  </si>
  <si>
    <t>Central Securities Corporation (NYSEAM:CET)</t>
  </si>
  <si>
    <t>NYSE:CIM</t>
  </si>
  <si>
    <t>Chimera Investment Corporation (NYSE:CIM)</t>
  </si>
  <si>
    <t>NYSE:CVII</t>
  </si>
  <si>
    <t>Churchill Capital Corp VII (NYSE:CVII)</t>
  </si>
  <si>
    <t>TSX:CIX</t>
  </si>
  <si>
    <t>CI Financial Corp. (TSX:CIX)</t>
  </si>
  <si>
    <t>BOVESPA:CIEL3</t>
  </si>
  <si>
    <t>Cielo S.A. (BOVESPA:CIEL3)</t>
  </si>
  <si>
    <t>NASDAQGS:CINF</t>
  </si>
  <si>
    <t>Cincinnati Financial Corporation (NASDAQGS:CINF)</t>
  </si>
  <si>
    <t>NASDAQCM:CZNC</t>
  </si>
  <si>
    <t>Citizens &amp; Northern Corporation (NASDAQCM:CZNC)</t>
  </si>
  <si>
    <t>NYSE:CFG</t>
  </si>
  <si>
    <t>Citizens Financial Group, Inc. (NYSE:CFG)</t>
  </si>
  <si>
    <t>NASDAQGS:CHCO</t>
  </si>
  <si>
    <t>City Holding Company (NASDAQGS:CHCO)</t>
  </si>
  <si>
    <t>TSX:CVG</t>
  </si>
  <si>
    <t>Clairvest Group Inc. (TSX:CVG)</t>
  </si>
  <si>
    <t>NYSE:CMTG</t>
  </si>
  <si>
    <t>Claros Mortgage Trust, Inc. (NYSE:CMTG)</t>
  </si>
  <si>
    <t>NASDAQGS:CLOV</t>
  </si>
  <si>
    <t>Clover Health Investments, Corp. (NASDAQGS:CLOV)</t>
  </si>
  <si>
    <t>NYSE:CNA</t>
  </si>
  <si>
    <t>CNA Financial Corporation (NYSE:CNA)</t>
  </si>
  <si>
    <t>NASDAQGS:CCNE</t>
  </si>
  <si>
    <t>CNB Financial Corporation (NASDAQGS:CCNE)</t>
  </si>
  <si>
    <t>NYSE:CNO</t>
  </si>
  <si>
    <t>CNO Financial Group, Inc. (NYSE:CNO)</t>
  </si>
  <si>
    <t>NASDAQGS:CCB</t>
  </si>
  <si>
    <t>Coastal Financial Corporation (NASDAQGS:CCB)</t>
  </si>
  <si>
    <t>NYSE:CNS</t>
  </si>
  <si>
    <t>Cohen &amp; Steers, Inc. (NYSE:CNS)</t>
  </si>
  <si>
    <t>NASDAQGS:COIN</t>
  </si>
  <si>
    <t>Coinbase Global, Inc. (NASDAQGS:COIN)</t>
  </si>
  <si>
    <t>NASDAQGS:COLB</t>
  </si>
  <si>
    <t>Columbia Banking System, Inc. (NASDAQGS:COLB)</t>
  </si>
  <si>
    <t>NASDAQGS:CLBK</t>
  </si>
  <si>
    <t>Columbia Financial, Inc. (NASDAQGS:CLBK)</t>
  </si>
  <si>
    <t>NYSE:CMA</t>
  </si>
  <si>
    <t>Comerica Incorporated (NYSE:CMA)</t>
  </si>
  <si>
    <t>NASDAQGS:CBSH</t>
  </si>
  <si>
    <t>Commerce Bancshares, Inc. (NASDAQGS:CBSH)</t>
  </si>
  <si>
    <t>NYSE:CBU</t>
  </si>
  <si>
    <t>Community Bank System, Inc. (NYSE:CBU)</t>
  </si>
  <si>
    <t>NASDAQGS:CTBI</t>
  </si>
  <si>
    <t>Community Trust Bancorp, Inc. (NASDAQGS:CTBI)</t>
  </si>
  <si>
    <t>NYSE:CODI</t>
  </si>
  <si>
    <t>Compass Diversified (NYSE:CODI)</t>
  </si>
  <si>
    <t>LSE:CRE</t>
  </si>
  <si>
    <t>Conduit Holdings Limited (LSE:CRE)</t>
  </si>
  <si>
    <t>NASDAQGS:CNOB</t>
  </si>
  <si>
    <t>ConnectOne Bancorp, Inc. (NASDAQGS:CNOB)</t>
  </si>
  <si>
    <t>NYSE:CRBG</t>
  </si>
  <si>
    <t>Corebridge Financial, Inc. (NYSE:CRBG)</t>
  </si>
  <si>
    <t>BMV:ACTINVR B</t>
  </si>
  <si>
    <t>Corporación Actinver, S. A. B. de C. V. (BMV:ACTINVR B)</t>
  </si>
  <si>
    <t>BVC:CORFICOLCF</t>
  </si>
  <si>
    <t>Corporación Financiera Colombiana S.A. (BVC:CORFICOLCF)</t>
  </si>
  <si>
    <t>BMV:GBM O</t>
  </si>
  <si>
    <t>Corporativo GBM, S.A.B. de C.V. (BMV:GBM O)</t>
  </si>
  <si>
    <t>NASDAQGS:CRVL</t>
  </si>
  <si>
    <t>CorVel Corporation (NASDAQGS:CRVL)</t>
  </si>
  <si>
    <t>Insurance Technology</t>
  </si>
  <si>
    <t>NASDAQGS:CSGP</t>
  </si>
  <si>
    <t>CoStar Group, Inc. (NASDAQGS:CSGP)</t>
  </si>
  <si>
    <t>NYSE:CRD.B</t>
  </si>
  <si>
    <t>Crawford &amp; Company (NYSE:CRD.B)</t>
  </si>
  <si>
    <t>NYSE:BAP</t>
  </si>
  <si>
    <t>Credicorp Ltd. (NYSE:BAP)</t>
  </si>
  <si>
    <t>NASDAQGS:CACC</t>
  </si>
  <si>
    <t>Credit Acceptance Corporation (NASDAQGS:CACC)</t>
  </si>
  <si>
    <t>NASDAQGS:CFB</t>
  </si>
  <si>
    <t>CrossFirst Bankshares, Inc. (NASDAQGS:CFB)</t>
  </si>
  <si>
    <t>NYSE:CFR</t>
  </si>
  <si>
    <t>Cullen/Frost Bankers, Inc. (NYSE:CFR)</t>
  </si>
  <si>
    <t>NYSE:CUBI</t>
  </si>
  <si>
    <t>Customers Bancorp, Inc. (NYSE:CUBI)</t>
  </si>
  <si>
    <t>NASDAQGS:CVBF</t>
  </si>
  <si>
    <t>CVB Financial Corp. (NASDAQGS:CVBF)</t>
  </si>
  <si>
    <t>OTCQX:DBIN</t>
  </si>
  <si>
    <t>Dacotah Banks, Inc. (OTCQX:DBIN)</t>
  </si>
  <si>
    <t>TSX:DFY</t>
  </si>
  <si>
    <t>Definity Financial Corporation (TSX:DFY)</t>
  </si>
  <si>
    <t>NYSE:DLX</t>
  </si>
  <si>
    <t>Deluxe Corporation (NYSE:DLX)</t>
  </si>
  <si>
    <t>NASDAQGS:DHIL</t>
  </si>
  <si>
    <t>Diamond Hill Investment Group, Inc. (NASDAQGS:DHIL)</t>
  </si>
  <si>
    <t>NYSE:DBD</t>
  </si>
  <si>
    <t>Diebold Nixdorf, Incorporated (NYSE:DBD)</t>
  </si>
  <si>
    <t>NASDAQGM:DWAC</t>
  </si>
  <si>
    <t>Digital World Acquisition Corp. (NASDAQGM:DWAC)</t>
  </si>
  <si>
    <t>NASDAQGS:DCOM</t>
  </si>
  <si>
    <t>Dime Community Bancshares, Inc. (NASDAQGS:DCOM)</t>
  </si>
  <si>
    <t>NYSE:DFS</t>
  </si>
  <si>
    <t>Discover Financial Services (NYSE:DFS)</t>
  </si>
  <si>
    <t>NASDAQGS:DLO</t>
  </si>
  <si>
    <t>DLocal Limited (NASDAQGS:DLO)</t>
  </si>
  <si>
    <t>NASDAQGS:DGIC.A</t>
  </si>
  <si>
    <t>Donegal Group Inc. (NASDAQGS:DGIC.A)</t>
  </si>
  <si>
    <t>NYSE:DFIN</t>
  </si>
  <si>
    <t>Donnelley Financial Solutions, Inc. (NYSE:DFIN)</t>
  </si>
  <si>
    <t>NYSE:DNB</t>
  </si>
  <si>
    <t>Dun &amp; Bradstreet Holdings, Inc. (NYSE:DNB)</t>
  </si>
  <si>
    <t>NYSE:DX</t>
  </si>
  <si>
    <t>Dynex Capital, Inc. (NYSE:DX)</t>
  </si>
  <si>
    <t>NASDAQCM:EGBN</t>
  </si>
  <si>
    <t>Eagle Bancorp, Inc. (NASDAQCM:EGBN)</t>
  </si>
  <si>
    <t>NASDAQGS:EWBC</t>
  </si>
  <si>
    <t>East West Bancorp, Inc. (NASDAQGS:EWBC)</t>
  </si>
  <si>
    <t>NASDAQGS:EBC</t>
  </si>
  <si>
    <t>Eastern Bankshares, Inc. (NASDAQGS:EBC)</t>
  </si>
  <si>
    <t>TSX:ECN</t>
  </si>
  <si>
    <t>ECN Capital Corp. (TSX:ECN)</t>
  </si>
  <si>
    <t>TSX:ELF</t>
  </si>
  <si>
    <t>E-L Financial Corporation Limited (TSX:ELF)</t>
  </si>
  <si>
    <t>TSX:EFN</t>
  </si>
  <si>
    <t>Element Fleet Management Corp. (TSX:EFN)</t>
  </si>
  <si>
    <t>NYSE:EFC</t>
  </si>
  <si>
    <t>Ellington Financial Inc. (NYSE:EFC)</t>
  </si>
  <si>
    <t>NYSE:EIG</t>
  </si>
  <si>
    <t>Employers Holdings, Inc. (NYSE:EIG)</t>
  </si>
  <si>
    <t>NASDAQGS:ACT</t>
  </si>
  <si>
    <t>Enact Holdings, Inc. (NASDAQGS:ACT)</t>
  </si>
  <si>
    <t>Mortgage Guaranty</t>
  </si>
  <si>
    <t>NASDAQGS:ECPG</t>
  </si>
  <si>
    <t>Encore Capital Group, Inc. (NASDAQGS:ECPG)</t>
  </si>
  <si>
    <t>NYSE:ENVA</t>
  </si>
  <si>
    <t>Enova International, Inc. (NYSE:ENVA)</t>
  </si>
  <si>
    <t>NASDAQGS:ESGR</t>
  </si>
  <si>
    <t>Enstar Group Limited (NASDAQGS:ESGR)</t>
  </si>
  <si>
    <t>NASDAQGS:EBTC</t>
  </si>
  <si>
    <t>Enterprise Bancorp, Inc. (NASDAQGS:EBTC)</t>
  </si>
  <si>
    <t>NASDAQGS:EFSC</t>
  </si>
  <si>
    <t>Enterprise Financial Services Corp (NASDAQGS:EFSC)</t>
  </si>
  <si>
    <t>NYSE:ENV</t>
  </si>
  <si>
    <t>Envestnet, Inc. (NYSE:ENV)</t>
  </si>
  <si>
    <t>TSX:EQB</t>
  </si>
  <si>
    <t>EQB Inc. (TSX:EQB)</t>
  </si>
  <si>
    <t>NYSE:EQH</t>
  </si>
  <si>
    <t>Equitable Holdings, Inc. (NYSE:EQH)</t>
  </si>
  <si>
    <t>NYSE:EQBK</t>
  </si>
  <si>
    <t>Equity Bancshares, Inc. (NYSE:EQBK)</t>
  </si>
  <si>
    <t>NASDAQGS:ERIE</t>
  </si>
  <si>
    <t>Erie Indemnity Company (NASDAQGS:ERIE)</t>
  </si>
  <si>
    <t>NASDAQCM:ESQ</t>
  </si>
  <si>
    <t>Esquire Financial Holdings, Inc. (NASDAQCM:ESQ)</t>
  </si>
  <si>
    <t>NYSE:ESNT</t>
  </si>
  <si>
    <t>Essent Group Ltd. (NYSE:ESNT)</t>
  </si>
  <si>
    <t>NASDAQGS:EEFT</t>
  </si>
  <si>
    <t>Euronet Worldwide, Inc. (NASDAQGS:EEFT)</t>
  </si>
  <si>
    <t>NYSE:EVR</t>
  </si>
  <si>
    <t>Evercore Inc. (NYSE:EVR)</t>
  </si>
  <si>
    <t>NYSE:EG</t>
  </si>
  <si>
    <t>Everest Group, Ltd. (NYSE:EG)</t>
  </si>
  <si>
    <t>NASDAQGM:EVER</t>
  </si>
  <si>
    <t>EverQuote, Inc. (NASDAQGM:EVER)</t>
  </si>
  <si>
    <t>NYSE:EVTC</t>
  </si>
  <si>
    <t>EVERTEC, Inc. (NYSE:EVTC)</t>
  </si>
  <si>
    <t>NASDAQGS:EXLS</t>
  </si>
  <si>
    <t>ExlService Holdings, Inc. (NASDAQGS:EXLS)</t>
  </si>
  <si>
    <t>NASDAQGS:EZPW</t>
  </si>
  <si>
    <t>EZCORP, Inc. (NASDAQGS:EZPW)</t>
  </si>
  <si>
    <t>NYSE:FG</t>
  </si>
  <si>
    <t>F&amp;G Annuities &amp; Life, Inc. (NYSE:FG)</t>
  </si>
  <si>
    <t>NYSE:FNB</t>
  </si>
  <si>
    <t>F.N.B. Corporation (NYSE:FNB)</t>
  </si>
  <si>
    <t>NYSE:FDS</t>
  </si>
  <si>
    <t>FactSet Research Systems Inc. (NYSE:FDS)</t>
  </si>
  <si>
    <t>TSX:FFH</t>
  </si>
  <si>
    <t>Fairfax Financial Holdings Limited (TSX:FFH)</t>
  </si>
  <si>
    <t>TSX:FIH.U</t>
  </si>
  <si>
    <t>Fairfax India Holdings Corporation (TSX:FIH.U)</t>
  </si>
  <si>
    <t>OTCQX:FMCB</t>
  </si>
  <si>
    <t>Farmers &amp; Merchants Bancorp (OTCQX:FMCB)</t>
  </si>
  <si>
    <t>NASDAQCM:FMAO</t>
  </si>
  <si>
    <t>Farmers &amp; Merchants Bancorp, Inc. (NASDAQCM:FMAO)</t>
  </si>
  <si>
    <t>OTCQX:FMBL</t>
  </si>
  <si>
    <t>Farmers &amp; Merchants Bank of Long Beach (OTCQX:FMBL)</t>
  </si>
  <si>
    <t>NASDAQCM:FMNB</t>
  </si>
  <si>
    <t>Farmers National Banc Corp. (NASDAQCM:FMNB)</t>
  </si>
  <si>
    <t>NYSE:FBK</t>
  </si>
  <si>
    <t>FB Financial Corporation (NYSE:FBK)</t>
  </si>
  <si>
    <t>NYSE:AGM</t>
  </si>
  <si>
    <t>Federal Agricultural Mortgage Corporation (NYSE:AGM)</t>
  </si>
  <si>
    <t>OTCQB:FMCC</t>
  </si>
  <si>
    <t>Federal Home Loan Mortgage Corporation (OTCQB:FMCC)</t>
  </si>
  <si>
    <t>OTCQB:FNMA</t>
  </si>
  <si>
    <t>Federal National Mortgage Association (OTCQB:FNMA)</t>
  </si>
  <si>
    <t>NYSE:FHI</t>
  </si>
  <si>
    <t>Federated Hermes, Inc. (NYSE:FHI)</t>
  </si>
  <si>
    <t>NYSE:FIHL</t>
  </si>
  <si>
    <t>Fidelis Insurance Holdings Limited (NYSE:FIHL)</t>
  </si>
  <si>
    <t>NYSE:FNF</t>
  </si>
  <si>
    <t>Fidelity National Financial, Inc. (NYSE:FNF)</t>
  </si>
  <si>
    <t>Title</t>
  </si>
  <si>
    <t>NYSE:FIS</t>
  </si>
  <si>
    <t>Fidelity National Information Services, Inc. (NYSE:FIS)</t>
  </si>
  <si>
    <t>TSX:FSZ</t>
  </si>
  <si>
    <t>Fiera Capital Corporation (TSX:FSZ)</t>
  </si>
  <si>
    <t>NASDAQGS:FITB</t>
  </si>
  <si>
    <t>Fifth Third Bancorp (NASDAQGS:FITB)</t>
  </si>
  <si>
    <t>NASDAQGS:FISI</t>
  </si>
  <si>
    <t>Financial Institutions, Inc. (NASDAQGS:FISI)</t>
  </si>
  <si>
    <t>NYSE:FAF</t>
  </si>
  <si>
    <t>First American Financial Corporation (NYSE:FAF)</t>
  </si>
  <si>
    <t>NASDAQGS:FBNC</t>
  </si>
  <si>
    <t>First Bancorp (NASDAQGS:FBNC)</t>
  </si>
  <si>
    <t>NYSE:FBP</t>
  </si>
  <si>
    <t>First BanCorp. (NYSE:FBP)</t>
  </si>
  <si>
    <t>NASDAQGM:FRBA</t>
  </si>
  <si>
    <t>First Bank (NASDAQGM:FRBA)</t>
  </si>
  <si>
    <t>NASDAQGS:BUSE</t>
  </si>
  <si>
    <t>First Busey Corporation (NASDAQGS:BUSE)</t>
  </si>
  <si>
    <t>NASDAQGS:FBIZ</t>
  </si>
  <si>
    <t>First Business Financial Services, Inc. (NASDAQGS:FBIZ)</t>
  </si>
  <si>
    <t>NASDAQGS:FCNC.A</t>
  </si>
  <si>
    <t>First Citizens BancShares, Inc. (NASDAQGS:FCNC.A)</t>
  </si>
  <si>
    <t>TTSE:FCGFH</t>
  </si>
  <si>
    <t>First Citizens Group Financial Holdings Limited (TTSE:FCGFH)</t>
  </si>
  <si>
    <t>NYSE:FCF</t>
  </si>
  <si>
    <t>First Commonwealth Financial Corporation (NYSE:FCF)</t>
  </si>
  <si>
    <t>NASDAQGS:FCBC</t>
  </si>
  <si>
    <t>First Community Bankshares, Inc. (NASDAQGS:FCBC)</t>
  </si>
  <si>
    <t>OTCQX:FFMR</t>
  </si>
  <si>
    <t>First Farmers Financial Corporation (OTCQX:FFMR)</t>
  </si>
  <si>
    <t>NASDAQGS:FFBC</t>
  </si>
  <si>
    <t>First Financial Bancorp. (NASDAQGS:FFBC)</t>
  </si>
  <si>
    <t>NASDAQGS:FFIN</t>
  </si>
  <si>
    <t>First Financial Bankshares, Inc. (NASDAQGS:FFIN)</t>
  </si>
  <si>
    <t>NASDAQGS:THFF</t>
  </si>
  <si>
    <t>First Financial Corporation (NASDAQGS:THFF)</t>
  </si>
  <si>
    <t>NYSE:FFWM</t>
  </si>
  <si>
    <t>First Foundation Inc. (NYSE:FFWM)</t>
  </si>
  <si>
    <t>NASDAQGS:FHB</t>
  </si>
  <si>
    <t>First Hawaiian, Inc. (NASDAQGS:FHB)</t>
  </si>
  <si>
    <t>NYSE:FHN</t>
  </si>
  <si>
    <t>First Horizon Corporation (NYSE:FHN)</t>
  </si>
  <si>
    <t>NASDAQGS:FIBK</t>
  </si>
  <si>
    <t>First Interstate BancSystem, Inc. (NASDAQGS:FIBK)</t>
  </si>
  <si>
    <t>NASDAQGS:FRME</t>
  </si>
  <si>
    <t>First Merchants Corporation (NASDAQGS:FRME)</t>
  </si>
  <si>
    <t>NASDAQGM:FMBH</t>
  </si>
  <si>
    <t>First Mid Bancshares, Inc. (NASDAQGM:FMBH)</t>
  </si>
  <si>
    <t>OTCQX:FBAK</t>
  </si>
  <si>
    <t>First National Bank Alaska (OTCQX:FBAK)</t>
  </si>
  <si>
    <t>TSX:FN</t>
  </si>
  <si>
    <t>First National Financial Corporation (TSX:FN)</t>
  </si>
  <si>
    <t>OTCPK:FINN</t>
  </si>
  <si>
    <t>First National of Nebraska, Inc. (OTCPK:FINN)</t>
  </si>
  <si>
    <t>TTSE:FCI</t>
  </si>
  <si>
    <t>FirstCaribbean International Bank Limited (TTSE:FCI)</t>
  </si>
  <si>
    <t>NASDAQGS:FCFS</t>
  </si>
  <si>
    <t>FirstCash Holdings, Inc. (NASDAQGS:FCFS)</t>
  </si>
  <si>
    <t>OTCQX:FSUN</t>
  </si>
  <si>
    <t>FirstSun Capital Bancorp (OTCQX:FSUN)</t>
  </si>
  <si>
    <t>NASDAQGS:FSBC</t>
  </si>
  <si>
    <t>Five Star Bancorp (NASDAQGS:FSBC)</t>
  </si>
  <si>
    <t>NYSE:FLT</t>
  </si>
  <si>
    <t>FLEETCOR Technologies, Inc. (NYSE:FLT)</t>
  </si>
  <si>
    <t>NASDAQGS:FFIC</t>
  </si>
  <si>
    <t>Flushing Financial Corporation (NASDAQGS:FFIC)</t>
  </si>
  <si>
    <t>NASDAQGS:FLYW</t>
  </si>
  <si>
    <t>Flywire Corporation (NASDAQGS:FLYW)</t>
  </si>
  <si>
    <t>SNSE:PASUR</t>
  </si>
  <si>
    <t>Forestal Constructora y Comercial del Pacifico Sur SA (SNSE:PASUR)</t>
  </si>
  <si>
    <t>NYSE:FRGE</t>
  </si>
  <si>
    <t>Forge Global Holdings, Inc. (NYSE:FRGE)</t>
  </si>
  <si>
    <t>NYSE:FBRT</t>
  </si>
  <si>
    <t>Franklin BSP Realty Trust, Inc. (NYSE:FBRT)</t>
  </si>
  <si>
    <t>NYSE:BEN</t>
  </si>
  <si>
    <t>Franklin Resources, Inc. (NYSE:BEN)</t>
  </si>
  <si>
    <t>OTCPK:FRMO</t>
  </si>
  <si>
    <t>FRMO Corporation (OTCPK:FRMO)</t>
  </si>
  <si>
    <t>NASDAQGS:FULT</t>
  </si>
  <si>
    <t>Fulton Financial Corporation (NASDAQGS:FULT)</t>
  </si>
  <si>
    <t>TSX:GLXY</t>
  </si>
  <si>
    <t>Galaxy Digital Holdings Ltd. (TSX:GLXY)</t>
  </si>
  <si>
    <t>OTCQX:GAMI</t>
  </si>
  <si>
    <t>GAMCO Investors, Inc. (OTCQX:GAMI)</t>
  </si>
  <si>
    <t>NYSE:GAM</t>
  </si>
  <si>
    <t>General American Investors Company, Inc. (NYSE:GAM)</t>
  </si>
  <si>
    <t>BMV:GENTERA *</t>
  </si>
  <si>
    <t>Gentera, S.A.B. de C.V. (BMV:GENTERA *)</t>
  </si>
  <si>
    <t>NYSE:GNW</t>
  </si>
  <si>
    <t>Genworth Financial, Inc. (NYSE:GNW)</t>
  </si>
  <si>
    <t>NASDAQGS:GABC</t>
  </si>
  <si>
    <t>German American Bancorp, Inc. (NASDAQGS:GABC)</t>
  </si>
  <si>
    <t>NYSE:GBCI</t>
  </si>
  <si>
    <t>Glacier Bancorp, Inc. (NYSE:GBCI)</t>
  </si>
  <si>
    <t>NYSE:GBLI</t>
  </si>
  <si>
    <t>Global Indemnity Group, LLC (NYSE:GBLI)</t>
  </si>
  <si>
    <t>NYSE:GPN</t>
  </si>
  <si>
    <t>Global Payments Inc. (NYSE:GPN)</t>
  </si>
  <si>
    <t>NYSE:GL</t>
  </si>
  <si>
    <t>Globe Life Inc. (NYSE:GL)</t>
  </si>
  <si>
    <t>TSX:GSY</t>
  </si>
  <si>
    <t>goeasy Ltd. (TSX:GSY)</t>
  </si>
  <si>
    <t>NASDAQGS:GSHD</t>
  </si>
  <si>
    <t>Goosehead Insurance, Inc (NASDAQGS:GSHD)</t>
  </si>
  <si>
    <t>NASDAQGM:GHIX</t>
  </si>
  <si>
    <t>Gores Holdings IX, Inc. (NASDAQGM:GHIX)</t>
  </si>
  <si>
    <t>ASX:GQG</t>
  </si>
  <si>
    <t>GQG Partners Inc. (ASX:GQG)</t>
  </si>
  <si>
    <t>NASDAQGS:GSBC</t>
  </si>
  <si>
    <t>Great Southern Bancorp, Inc. (NASDAQGS:GSBC)</t>
  </si>
  <si>
    <t>TSX:GWO</t>
  </si>
  <si>
    <t>Great-West Lifeco Inc. (TSX:GWO)</t>
  </si>
  <si>
    <t>NYSE:GDOT</t>
  </si>
  <si>
    <t>Green Dot Corporation (NYSE:GDOT)</t>
  </si>
  <si>
    <t>NASDAQCM:GCBC</t>
  </si>
  <si>
    <t>Greene County Bancorp, Inc. (NASDAQCM:GCBC)</t>
  </si>
  <si>
    <t>NASDAQGS:GLRE</t>
  </si>
  <si>
    <t>Greenlight Capital Re, Ltd. (NASDAQGS:GLRE)</t>
  </si>
  <si>
    <t>NYSE:GHI</t>
  </si>
  <si>
    <t>Greystone Housing Impact Investors LP (NYSE:GHI)</t>
  </si>
  <si>
    <t>NASDAQGM:GCMG</t>
  </si>
  <si>
    <t>Grosvenor Capital Management, L.P. (NASDAQGM:GCMG)</t>
  </si>
  <si>
    <t>BVC:GRUPOAVAL</t>
  </si>
  <si>
    <t>Grupo Aval Acciones y Valores S.A. (BVC:GRUPOAVAL)</t>
  </si>
  <si>
    <t>BVC:GRUBOLIVAR</t>
  </si>
  <si>
    <t>Grupo Bolívar S.A. (BVC:GRUBOLIVAR)</t>
  </si>
  <si>
    <t>BVC:GRUPOSURA</t>
  </si>
  <si>
    <t>Grupo de Inversiones Suramericana S.A. (BVC:GRUPOSURA)</t>
  </si>
  <si>
    <t>BMV:ELEKTRA *</t>
  </si>
  <si>
    <t>Grupo Elektra, S.A.B. de C.V. (BMV:ELEKTRA *)</t>
  </si>
  <si>
    <t>BMV:GFNORTE O</t>
  </si>
  <si>
    <t>Grupo Financiero Banorte, S.A.B. de C.V. (BMV:GFNORTE O)</t>
  </si>
  <si>
    <t>BASE:GGAL</t>
  </si>
  <si>
    <t>Grupo Financiero Galicia S.A. (BASE:GGAL)</t>
  </si>
  <si>
    <t>BMV:GFINBUR O</t>
  </si>
  <si>
    <t>Grupo Financiero Inbursa, S.A.B. de C.V. (BMV:GFINBUR O)</t>
  </si>
  <si>
    <t>BMV:GFMULTI O</t>
  </si>
  <si>
    <t>Grupo Financiero Multiva, S.A.B. de C.V. (BMV:GFMULTI O)</t>
  </si>
  <si>
    <t>BMV:GNP *</t>
  </si>
  <si>
    <t>Grupo Nacional Provincial, S.A.B. (BMV:GNP *)</t>
  </si>
  <si>
    <t>BMV:GPROFUT *</t>
  </si>
  <si>
    <t>Grupo Profuturo, S.A.B. de C.V. (BMV:GPROFUT *)</t>
  </si>
  <si>
    <t>SNSE:SECURITY</t>
  </si>
  <si>
    <t>Grupo Security S.A. (SNSE:SECURITY)</t>
  </si>
  <si>
    <t>BASE:SUPV</t>
  </si>
  <si>
    <t>Grupo Supervielle S.A. (BASE:SUPV)</t>
  </si>
  <si>
    <t>NYSE:GNTY</t>
  </si>
  <si>
    <t>Guaranty Bancshares, Inc. (NYSE:GNTY)</t>
  </si>
  <si>
    <t>TSX:GCG.A</t>
  </si>
  <si>
    <t>Guardian Capital Group Limited (TSX:GCG.A)</t>
  </si>
  <si>
    <t>TTSE:GHL</t>
  </si>
  <si>
    <t>Guardian Holdings Limited (TTSE:GHL)</t>
  </si>
  <si>
    <t>NYSE:GWRE</t>
  </si>
  <si>
    <t>Guidewire Software, Inc. (NYSE:GWRE)</t>
  </si>
  <si>
    <t>NYSE:GHLD</t>
  </si>
  <si>
    <t>Guild Holdings Company (NYSE:GHLD)</t>
  </si>
  <si>
    <t>NYSE:HGTY</t>
  </si>
  <si>
    <t>Hagerty, Inc. (NYSE:HGTY)</t>
  </si>
  <si>
    <t>ENXTAM:HAL</t>
  </si>
  <si>
    <t>HAL Trust (ENXTAM:HAL)</t>
  </si>
  <si>
    <t>NYSE:HG</t>
  </si>
  <si>
    <t>Hamilton Insurance Group, Ltd. (NYSE:HG)</t>
  </si>
  <si>
    <t>NASDAQGS:HLNE</t>
  </si>
  <si>
    <t>Hamilton Lane Incorporated (NASDAQGS:HLNE)</t>
  </si>
  <si>
    <t>NASDAQGS:HWC</t>
  </si>
  <si>
    <t>Hancock Whitney Corporation (NASDAQGS:HWC)</t>
  </si>
  <si>
    <t>NASDAQGS:HAFC</t>
  </si>
  <si>
    <t>Hanmi Financial Corporation (NASDAQGS:HAFC)</t>
  </si>
  <si>
    <t>NYSE:HASI</t>
  </si>
  <si>
    <t>Hannon Armstrong Sustainable Infrastructure Capital, Inc. (NYSE:HASI)</t>
  </si>
  <si>
    <t>BOVESPA:HAPV3</t>
  </si>
  <si>
    <t>Hapvida Participações e Investimentos S.A. (BOVESPA:HAPV3)</t>
  </si>
  <si>
    <t>NASDAQGS:HONE</t>
  </si>
  <si>
    <t>HarborOne Bancorp, Inc. (NASDAQGS:HONE)</t>
  </si>
  <si>
    <t>NASDAQGS:HBT</t>
  </si>
  <si>
    <t>HBT Financial, Inc. (NASDAQGS:HBT)</t>
  </si>
  <si>
    <t>NYSE:HCI</t>
  </si>
  <si>
    <t>HCI Group, Inc. (NYSE:HCI)</t>
  </si>
  <si>
    <t>NASDAQGS:HQY</t>
  </si>
  <si>
    <t>HealthEquity, Inc. (NASDAQGS:HQY)</t>
  </si>
  <si>
    <t>NASDAQGS:HTLF</t>
  </si>
  <si>
    <t>Heartland Financial USA, Inc. (NASDAQGS:HTLF)</t>
  </si>
  <si>
    <t>NYSE:HTGC</t>
  </si>
  <si>
    <t>Hercules Capital, Inc. (NYSE:HTGC)</t>
  </si>
  <si>
    <t>NASDAQGS:HTBK</t>
  </si>
  <si>
    <t>Heritage Commerce Corp (NASDAQGS:HTBK)</t>
  </si>
  <si>
    <t>NASDAQGS:HFWA</t>
  </si>
  <si>
    <t>Heritage Financial Corporation (NASDAQGS:HFWA)</t>
  </si>
  <si>
    <t>OTCPK:HBIA</t>
  </si>
  <si>
    <t>Hills Bancorporation (OTCPK:HBIA)</t>
  </si>
  <si>
    <t>NYSE:HTH</t>
  </si>
  <si>
    <t>Hilltop Holdings Inc. (NYSE:HTH)</t>
  </si>
  <si>
    <t>NASDAQGM:HIFS</t>
  </si>
  <si>
    <t>Hingham Institution for Savings (NASDAQGM:HIFS)</t>
  </si>
  <si>
    <t>LSE:HSX</t>
  </si>
  <si>
    <t>Hiscox Ltd (LSE:HSX)</t>
  </si>
  <si>
    <t>NASDAQGS:HBCP</t>
  </si>
  <si>
    <t>Home Bancorp, Inc. (NASDAQGS:HBCP)</t>
  </si>
  <si>
    <t>NYSE:HOMB</t>
  </si>
  <si>
    <t>Home Bancshares, Inc. (Conway, AR) (NYSE:HOMB)</t>
  </si>
  <si>
    <t>NASDAQGS:HTBI</t>
  </si>
  <si>
    <t>HomeTrust Bancshares, Inc. (NASDAQGS:HTBI)</t>
  </si>
  <si>
    <t>NASDAQGS:HOPE</t>
  </si>
  <si>
    <t>Hope Bancorp, Inc. (NASDAQGS:HOPE)</t>
  </si>
  <si>
    <t>NYSE:HMN</t>
  </si>
  <si>
    <t>Horace Mann Educators Corporation (NYSE:HMN)</t>
  </si>
  <si>
    <t>NASDAQGS:HBNC</t>
  </si>
  <si>
    <t>Horizon Bancorp, Inc. (NASDAQGS:HBNC)</t>
  </si>
  <si>
    <t>NYSE:HLI</t>
  </si>
  <si>
    <t>Houlihan Lokey, Inc. (NYSE:HLI)</t>
  </si>
  <si>
    <t>NYSE:HUM</t>
  </si>
  <si>
    <t>Humana Inc. (NYSE:HUM)</t>
  </si>
  <si>
    <t>NASDAQGS:HBAN</t>
  </si>
  <si>
    <t>Huntington Bancshares Incorporated (NASDAQGS:HBAN)</t>
  </si>
  <si>
    <t>NASDAQGS:IIIV</t>
  </si>
  <si>
    <t>i3 Verticals, Inc. (NASDAQGS:IIIV)</t>
  </si>
  <si>
    <t>TSX:IAG</t>
  </si>
  <si>
    <t>iA Financial Corporation Inc. (TSX:IAG)</t>
  </si>
  <si>
    <t>TSX:IGM</t>
  </si>
  <si>
    <t>IGM Financial Inc. (TSX:IGM)</t>
  </si>
  <si>
    <t>NASDAQGS:INDB</t>
  </si>
  <si>
    <t>Independent Bank Corp. (NASDAQGS:INDB)</t>
  </si>
  <si>
    <t>NASDAQGS:IBCP</t>
  </si>
  <si>
    <t>Independent Bank Corporation (NASDAQGS:IBCP)</t>
  </si>
  <si>
    <t>NASDAQGS:IBTX</t>
  </si>
  <si>
    <t>Independent Bank Group, Inc. (NASDAQGS:IBTX)</t>
  </si>
  <si>
    <t>NASDAQGM:IPXX</t>
  </si>
  <si>
    <t>Inflection Point Acquisition Corp. II (NASDAQGM:IPXX)</t>
  </si>
  <si>
    <t>TSX:IFC</t>
  </si>
  <si>
    <t>Intact Financial Corporation (TSX:IFC)</t>
  </si>
  <si>
    <t>NASDAQGS:INTR</t>
  </si>
  <si>
    <t>Inter &amp; Co, Inc. (NASDAQGS:INTR)</t>
  </si>
  <si>
    <t>NASDAQGS:IBKR</t>
  </si>
  <si>
    <t>Interactive Brokers Group, Inc. (NASDAQGS:IBKR)</t>
  </si>
  <si>
    <t>BVL:IFS</t>
  </si>
  <si>
    <t>Intercorp Financial Services Inc. (BVL:IFS)</t>
  </si>
  <si>
    <t>NASDAQGS:IBOC</t>
  </si>
  <si>
    <t>International Bancshares Corporation (NASDAQGS:IBOC)</t>
  </si>
  <si>
    <t>NASDAQCM:IMXI</t>
  </si>
  <si>
    <t>International Money Express, Inc. (NASDAQCM:IMXI)</t>
  </si>
  <si>
    <t>SNSE:INVERCAP</t>
  </si>
  <si>
    <t>Invercap S.A. (SNSE:INVERCAP)</t>
  </si>
  <si>
    <t>BVL:INVFALC1</t>
  </si>
  <si>
    <t>Inverfal Perú S.A.A. (BVL:INVFALC1)</t>
  </si>
  <si>
    <t>SNSE:ILC</t>
  </si>
  <si>
    <t>Inversiones La Construcción S.A. (SNSE:ILC)</t>
  </si>
  <si>
    <t>NYSE:IVZ</t>
  </si>
  <si>
    <t>Invesco Ltd. (NYSE:IVZ)</t>
  </si>
  <si>
    <t>NYSE:IVR</t>
  </si>
  <si>
    <t>Invesco Mortgage Capital Inc. (NYSE:IVR)</t>
  </si>
  <si>
    <t>NASDAQGS:ITIC</t>
  </si>
  <si>
    <t>Investors Title Company (NASDAQGS:ITIC)</t>
  </si>
  <si>
    <t>BMV:INVEX A</t>
  </si>
  <si>
    <t>INVEX Controladora, S.A.B. de C.V. (BMV:INVEX A)</t>
  </si>
  <si>
    <t>BOVESPA:IRBR3</t>
  </si>
  <si>
    <t>IRB-Brasil Resseguros S.A. (BOVESPA:IRBR3)</t>
  </si>
  <si>
    <t>BOVESPA:ITSA4</t>
  </si>
  <si>
    <t>Itaúsa S.A. (BOVESPA:ITSA4)</t>
  </si>
  <si>
    <t>NASDAQGS:JKHY</t>
  </si>
  <si>
    <t>Jack Henry &amp; Associates, Inc. (NASDAQGS:JKHY)</t>
  </si>
  <si>
    <t>NYSE:JXN</t>
  </si>
  <si>
    <t>Jackson Financial Inc. (NYSE:JXN)</t>
  </si>
  <si>
    <t>NASDAQGS:JRVR</t>
  </si>
  <si>
    <t>James River Group Holdings, Ltd. (NASDAQGS:JRVR)</t>
  </si>
  <si>
    <t>NYSEAM:JWSM</t>
  </si>
  <si>
    <t>Jaws Mustang Acquisition Corporation (NYSEAM:JWSM)</t>
  </si>
  <si>
    <t>NYSE:JEF</t>
  </si>
  <si>
    <t>Jefferies Financial Group Inc. (NYSE:JEF)</t>
  </si>
  <si>
    <t>JMSE:JMMBGL</t>
  </si>
  <si>
    <t>JMMB Group Limited (JMSE:JMMBGL)</t>
  </si>
  <si>
    <t>OTCQX:KCLI</t>
  </si>
  <si>
    <t>Kansas City Life Insurance Company (OTCQX:KCLI)</t>
  </si>
  <si>
    <t>NASDAQGS:KRNY</t>
  </si>
  <si>
    <t>Kearny Financial Corp. (NASDAQGS:KRNY)</t>
  </si>
  <si>
    <t>NYSE:KMPR</t>
  </si>
  <si>
    <t>Kemper Corporation (NYSE:KMPR)</t>
  </si>
  <si>
    <t>NYSE:KEY</t>
  </si>
  <si>
    <t>KeyCorp (NYSE:KEY)</t>
  </si>
  <si>
    <t>NYSE:KNSL</t>
  </si>
  <si>
    <t>Kinsale Capital Group, Inc. (NYSE:KNSL)</t>
  </si>
  <si>
    <t>NYSE:KREF</t>
  </si>
  <si>
    <t>KKR Real Estate Finance Trust Inc. (NYSE:KREF)</t>
  </si>
  <si>
    <t>NYSE:LADR</t>
  </si>
  <si>
    <t>Ladder Capital Corp (NYSE:LADR)</t>
  </si>
  <si>
    <t>NASDAQGS:LBAI</t>
  </si>
  <si>
    <t>Lakeland Bancorp, Inc. (NASDAQGS:LBAI)</t>
  </si>
  <si>
    <t>NASDAQGS:LKFN</t>
  </si>
  <si>
    <t>Lakeland Financial Corporation (NASDAQGS:LKFN)</t>
  </si>
  <si>
    <t>LSE:LRE</t>
  </si>
  <si>
    <t>Lancashire Holdings Limited (LSE:LRE)</t>
  </si>
  <si>
    <t>TSX:LB</t>
  </si>
  <si>
    <t>Laurentian Bank of Canada (TSX:LB)</t>
  </si>
  <si>
    <t>NYSE:LAZ</t>
  </si>
  <si>
    <t>Lazard, Inc. (NYSE:LAZ)</t>
  </si>
  <si>
    <t>NYSE:LMND</t>
  </si>
  <si>
    <t>Lemonade, Inc. (NYSE:LMND)</t>
  </si>
  <si>
    <t>NYSE:LC</t>
  </si>
  <si>
    <t>LendingClub Corporation (NYSE:LC)</t>
  </si>
  <si>
    <t>NASDAQGS:TREE</t>
  </si>
  <si>
    <t>LendingTree, Inc. (NASDAQGS:TREE)</t>
  </si>
  <si>
    <t>NYSE:LNC</t>
  </si>
  <si>
    <t>Lincoln National Corporation (NYSE:LNC)</t>
  </si>
  <si>
    <t>NYSE:LOB</t>
  </si>
  <si>
    <t>Live Oak Bancshares, Inc. (NYSE:LOB)</t>
  </si>
  <si>
    <t>NYSE:LDI</t>
  </si>
  <si>
    <t>loanDepot, Inc. (NYSE:LDI)</t>
  </si>
  <si>
    <t>NYSE:L</t>
  </si>
  <si>
    <t>Loews Corporation (NYSE:L)</t>
  </si>
  <si>
    <t>NASDAQGS:LPLA</t>
  </si>
  <si>
    <t>LPL Financial Holdings Inc. (NASDAQGS:LPLA)</t>
  </si>
  <si>
    <t>NASDAQGS:LBC</t>
  </si>
  <si>
    <t>Luther Burbank Corporation (NASDAQGS:LBC)</t>
  </si>
  <si>
    <t>NYSE:MTB</t>
  </si>
  <si>
    <t>M&amp;T Bank Corporation (NYSE:MTB)</t>
  </si>
  <si>
    <t>NASDAQGS:MCBC</t>
  </si>
  <si>
    <t>Macatawa Bank Corporation (NASDAQGS:MCBC)</t>
  </si>
  <si>
    <t>NYSE:MAIN</t>
  </si>
  <si>
    <t>Main Street Capital Corporation (NYSE:MAIN)</t>
  </si>
  <si>
    <t>TSX:MFC</t>
  </si>
  <si>
    <t>Manulife Financial Corporation (TSX:MFC)</t>
  </si>
  <si>
    <t>BVL:MAPFSGC1</t>
  </si>
  <si>
    <t>Mapfre Perú Compañía de Seguros y Reaseguros S.A. (BVL:MAPFSGC1)</t>
  </si>
  <si>
    <t>NYSE:MKL</t>
  </si>
  <si>
    <t>Markel Group Inc. (NYSE:MKL)</t>
  </si>
  <si>
    <t>NASDAQGS:MKTX</t>
  </si>
  <si>
    <t>MarketAxess Holdings Inc. (NASDAQGS:MKTX)</t>
  </si>
  <si>
    <t>NASDAQGS:MQ</t>
  </si>
  <si>
    <t>Marqeta, Inc. (NASDAQGS:MQ)</t>
  </si>
  <si>
    <t>NYSE:MBI</t>
  </si>
  <si>
    <t>MBIA Inc. (NYSE:MBI)</t>
  </si>
  <si>
    <t>Financial Guaranty</t>
  </si>
  <si>
    <t>TSX:MKP</t>
  </si>
  <si>
    <t>MCAN Mortgage Corporation (TSX:MKP)</t>
  </si>
  <si>
    <t>OTCEM:MCHB</t>
  </si>
  <si>
    <t>Mechanics Bank (OTCEM:MCHB)</t>
  </si>
  <si>
    <t>NASDAQGS:MBWM</t>
  </si>
  <si>
    <t>Mercantile Bank Corporation (NASDAQGS:MBWM)</t>
  </si>
  <si>
    <t>NASDAQCM:MBIN</t>
  </si>
  <si>
    <t>Merchants Bancorp (NASDAQCM:MBIN)</t>
  </si>
  <si>
    <t>NYSE:MCY</t>
  </si>
  <si>
    <t>Mercury General Corporation (NYSE:MCY)</t>
  </si>
  <si>
    <t>NASDAQGS:MCBS</t>
  </si>
  <si>
    <t>MetroCity Bankshares, Inc. (NASDAQGS:MCBS)</t>
  </si>
  <si>
    <t>NYSE:MCB</t>
  </si>
  <si>
    <t>Metropolitan Bank Holding Corp. (NYSE:MCB)</t>
  </si>
  <si>
    <t>NYSE:MFA</t>
  </si>
  <si>
    <t>MFA Financial, Inc. (NYSE:MFA)</t>
  </si>
  <si>
    <t>NYSE:MTG</t>
  </si>
  <si>
    <t>MGIC Investment Corporation (NYSE:MTG)</t>
  </si>
  <si>
    <t>BVL:MIBANC1</t>
  </si>
  <si>
    <t>Mibanco Banco de la Microempresa S.A. (BVL:MIBANC1)</t>
  </si>
  <si>
    <t>NASDAQGM:MPB</t>
  </si>
  <si>
    <t>Mid Penn Bancorp, Inc. (NASDAQGM:MPB)</t>
  </si>
  <si>
    <t>NASDAQGS:MSBI</t>
  </si>
  <si>
    <t>Midland States Bancorp, Inc. (NASDAQGS:MSBI)</t>
  </si>
  <si>
    <t>NASDAQGS:MOFG</t>
  </si>
  <si>
    <t>MidWestOne Financial Group, Inc. (NASDAQGS:MOFG)</t>
  </si>
  <si>
    <t>NYSE:MC</t>
  </si>
  <si>
    <t>Moelis &amp; Company (NYSE:MC)</t>
  </si>
  <si>
    <t>NYSE:MOH</t>
  </si>
  <si>
    <t>Molina Healthcare, Inc. (NYSE:MOH)</t>
  </si>
  <si>
    <t>NYSE:ML</t>
  </si>
  <si>
    <t>MoneyLion Inc. (NYSE:ML)</t>
  </si>
  <si>
    <t>BOVESPA:MOAR3</t>
  </si>
  <si>
    <t>Monteiro Aranha S.A. (BOVESPA:MOAR3)</t>
  </si>
  <si>
    <t>NASDAQGS:MORN</t>
  </si>
  <si>
    <t>Morningstar, Inc. (NASDAQGS:MORN)</t>
  </si>
  <si>
    <t>NASDAQCM:COOP</t>
  </si>
  <si>
    <t>Mr. Cooper Group Inc. (NASDAQCM:COOP)</t>
  </si>
  <si>
    <t>NYSE:MSCI</t>
  </si>
  <si>
    <t>MSCI Inc. (NYSE:MSCI)</t>
  </si>
  <si>
    <t>NASDAQGM:NETD</t>
  </si>
  <si>
    <t>Nabors Energy Transition Corp. II (NASDAQGM:NETD)</t>
  </si>
  <si>
    <t>NASDAQGS:NDAQ</t>
  </si>
  <si>
    <t>Nasdaq, Inc. (NASDAQGS:NDAQ)</t>
  </si>
  <si>
    <t>NYSE:NBHC</t>
  </si>
  <si>
    <t>National Bank Holdings Corporation (NYSE:NBHC)</t>
  </si>
  <si>
    <t>TSX:NA</t>
  </si>
  <si>
    <t>National Bank of Canada (TSX:NA)</t>
  </si>
  <si>
    <t>TTSE:NEL</t>
  </si>
  <si>
    <t>National Enterprises Limited (TTSE:NEL)</t>
  </si>
  <si>
    <t>NASDAQGS:NWLI</t>
  </si>
  <si>
    <t>National Western Life Group, Inc. (NASDAQGS:NWLI)</t>
  </si>
  <si>
    <t>NASDAQGS:NAVI</t>
  </si>
  <si>
    <t>Navient Corporation (NASDAQGS:NAVI)</t>
  </si>
  <si>
    <t>NASDAQCM:NBBK</t>
  </si>
  <si>
    <t>NB Bancorp, Inc. (NASDAQCM:NBBK)</t>
  </si>
  <si>
    <t>NASDAQGS:NBTB</t>
  </si>
  <si>
    <t>NBT Bancorp Inc. (NASDAQGS:NBTB)</t>
  </si>
  <si>
    <t>JMSE:NCBFG</t>
  </si>
  <si>
    <t>NCB Financial Group Limited (JMSE:NCBFG)</t>
  </si>
  <si>
    <t>NASDAQGS:NCNO</t>
  </si>
  <si>
    <t>nCino, Inc. (NASDAQGS:NCNO)</t>
  </si>
  <si>
    <t>NYSE:NATL</t>
  </si>
  <si>
    <t>NCR Atleos Corporation (NYSE:NATL)</t>
  </si>
  <si>
    <t>NYSE:VYX</t>
  </si>
  <si>
    <t>NCR Voyix Corporation (NYSE:VYX)</t>
  </si>
  <si>
    <t>NYSE:NNI</t>
  </si>
  <si>
    <t>Nelnet, Inc. (NYSE:NNI)</t>
  </si>
  <si>
    <t>NASDAQGM:NRDS</t>
  </si>
  <si>
    <t>NerdWallet, Inc. (NASDAQGM:NRDS)</t>
  </si>
  <si>
    <t>NYSE:NYCB</t>
  </si>
  <si>
    <t>New York Community Bancorp, Inc. (NYSE:NYCB)</t>
  </si>
  <si>
    <t>NASDAQGS:NYMT</t>
  </si>
  <si>
    <t>New York Mortgage Trust, Inc. (NASDAQGS:NYMT)</t>
  </si>
  <si>
    <t>NYSE:NIC</t>
  </si>
  <si>
    <t>Nicolet Bankshares, Inc. (NYSE:NIC)</t>
  </si>
  <si>
    <t>SNSE:NITRATOS</t>
  </si>
  <si>
    <t>Nitratos de Chile S.A. (SNSE:NITRATOS)</t>
  </si>
  <si>
    <t>NASDAQGM:NMIH</t>
  </si>
  <si>
    <t>NMI Holdings, Inc. (NASDAQGM:NMIH)</t>
  </si>
  <si>
    <t>SNSE:NORTEGRAN</t>
  </si>
  <si>
    <t>Norte Grande S.A. (SNSE:NORTEGRAN)</t>
  </si>
  <si>
    <t>NASDAQGM:NBN</t>
  </si>
  <si>
    <t>Northeast Bank (NASDAQGM:NBN)</t>
  </si>
  <si>
    <t>NASDAQGS:NTRS</t>
  </si>
  <si>
    <t>Northern Trust Corporation (NASDAQGS:NTRS)</t>
  </si>
  <si>
    <t>NASDAQGS:NFBK</t>
  </si>
  <si>
    <t>Northfield Bancorp, Inc. (Staten Island, NY) (NASDAQGS:NFBK)</t>
  </si>
  <si>
    <t>NASDAQGS:NWBI</t>
  </si>
  <si>
    <t>Northwest Bancshares, Inc. (NASDAQGS:NWBI)</t>
  </si>
  <si>
    <t>NYSE:NU</t>
  </si>
  <si>
    <t>Nu Holdings Ltd. (NYSE:NU)</t>
  </si>
  <si>
    <t>TSX:NVEI</t>
  </si>
  <si>
    <t>Nuvei Corporation (TSX:NVEI)</t>
  </si>
  <si>
    <t>LSE:OCI</t>
  </si>
  <si>
    <t>Oakley Capital Investments Limited (LSE:OCI)</t>
  </si>
  <si>
    <t>NASDAQGS:OCFC</t>
  </si>
  <si>
    <t>OceanFirst Financial Corp. (NASDAQGS:OCFC)</t>
  </si>
  <si>
    <t>NYSE:OFG</t>
  </si>
  <si>
    <t>OFG Bancorp (NYSE:OFG)</t>
  </si>
  <si>
    <t>NASDAQGS:ONB</t>
  </si>
  <si>
    <t>Old National Bancorp (NASDAQGS:ONB)</t>
  </si>
  <si>
    <t>NYSE:ORI</t>
  </si>
  <si>
    <t>Old Republic International Corporation (NYSE:ORI)</t>
  </si>
  <si>
    <t>NASDAQGS:OSBC</t>
  </si>
  <si>
    <t>Old Second Bancorp, Inc. (NASDAQGS:OSBC)</t>
  </si>
  <si>
    <t>NYSE:OMF</t>
  </si>
  <si>
    <t>OneMain Holdings, Inc. (NYSE:OMF)</t>
  </si>
  <si>
    <t>TSX:ONEX</t>
  </si>
  <si>
    <t>Onex Corporation (TSX:ONEX)</t>
  </si>
  <si>
    <t>NASDAQGM:LPRO</t>
  </si>
  <si>
    <t>Open Lending Corporation (NASDAQGM:LPRO)</t>
  </si>
  <si>
    <t>NYSE:OPY</t>
  </si>
  <si>
    <t>Oppenheimer Holdings Inc. (NYSE:OPY)</t>
  </si>
  <si>
    <t>NYSE:ORC</t>
  </si>
  <si>
    <t>Orchid Island Capital, Inc. (NYSE:ORC)</t>
  </si>
  <si>
    <t>NYSE:OBK</t>
  </si>
  <si>
    <t>Origin Bancorp, Inc. (NYSE:OBK)</t>
  </si>
  <si>
    <t>NYSE:OEC</t>
  </si>
  <si>
    <t>Orion S.A. (NYSE:OEC)</t>
  </si>
  <si>
    <t>NYSE:OSCR</t>
  </si>
  <si>
    <t>Oscar Health, Inc. (NYSE:OSCR)</t>
  </si>
  <si>
    <t>OTCQX:OTCM</t>
  </si>
  <si>
    <t>OTC Markets Group Inc. (OTCQX:OTCM)</t>
  </si>
  <si>
    <t>NYSE:PX</t>
  </si>
  <si>
    <t>P10, Inc. (NYSE:PX)</t>
  </si>
  <si>
    <t>NASDAQGS:PPBI</t>
  </si>
  <si>
    <t>Pacific Premier Bancorp, Inc. (NASDAQGS:PPBI)</t>
  </si>
  <si>
    <t>BVL:PACIFIC1</t>
  </si>
  <si>
    <t>Pacífico Compañía de Seguros y Reaseguros (BVL:PACIFIC1)</t>
  </si>
  <si>
    <t>NYSE:PAGS</t>
  </si>
  <si>
    <t>PagSeguro Digital Ltd. (NYSE:PAGS)</t>
  </si>
  <si>
    <t>NASDAQGS:PLMR</t>
  </si>
  <si>
    <t>Palomar Holdings, Inc. (NASDAQGS:PLMR)</t>
  </si>
  <si>
    <t>NYSEAM:PRK</t>
  </si>
  <si>
    <t>Park National Corporation (NYSEAM:PRK)</t>
  </si>
  <si>
    <t>TSXV:PVF.UN</t>
  </si>
  <si>
    <t>Partners Value Investments LP (TSXV:PVF.UN)</t>
  </si>
  <si>
    <t>NASDAQGS:CASH</t>
  </si>
  <si>
    <t>Pathward Financial, Inc. (NASDAQGS:CASH)</t>
  </si>
  <si>
    <t>NASDAQGS:PAX</t>
  </si>
  <si>
    <t>Patria Investments Limited (NASDAQGS:PAX)</t>
  </si>
  <si>
    <t>NYSE:PAY</t>
  </si>
  <si>
    <t>Paymentus Holdings, Inc. (NYSE:PAY)</t>
  </si>
  <si>
    <t>NASDAQGM:PAYO</t>
  </si>
  <si>
    <t>Payoneer Global Inc. (NASDAQGM:PAYO)</t>
  </si>
  <si>
    <t>NASDAQGS:PGC</t>
  </si>
  <si>
    <t>Peapack-Gladstone Financial Corporation (NASDAQGS:PGC)</t>
  </si>
  <si>
    <t>NYSE:PFSI</t>
  </si>
  <si>
    <t>PennyMac Financial Services, Inc. (NYSE:PFSI)</t>
  </si>
  <si>
    <t>NYSE:PMT</t>
  </si>
  <si>
    <t>PennyMac Mortgage Investment Trust (NYSE:PMT)</t>
  </si>
  <si>
    <t>NASDAQGS:PEBO</t>
  </si>
  <si>
    <t>Peoples Bancorp Inc. (NASDAQGS:PEBO)</t>
  </si>
  <si>
    <t>NASDAQGS:PFIS</t>
  </si>
  <si>
    <t>Peoples Financial Services Corp. (NASDAQGS:PFIS)</t>
  </si>
  <si>
    <t>NASDAQGS:PWP</t>
  </si>
  <si>
    <t>Perella Weinberg Partners (NASDAQGS:PWP)</t>
  </si>
  <si>
    <t>NASDAQGS:PNFP</t>
  </si>
  <si>
    <t>Pinnacle Financial Partners, Inc. (NASDAQGS:PNFP)</t>
  </si>
  <si>
    <t>NYSE:PIPR</t>
  </si>
  <si>
    <t>Piper Sandler Companies (NYSE:PIPR)</t>
  </si>
  <si>
    <t>NYSE:PJT</t>
  </si>
  <si>
    <t>PJT Partners Inc. (NYSE:PJT)</t>
  </si>
  <si>
    <t>NASDAQGS:BPOP</t>
  </si>
  <si>
    <t>Popular, Inc. (NASDAQGS:BPOP)</t>
  </si>
  <si>
    <t>BOVESPA:PSSA3</t>
  </si>
  <si>
    <t>Porto Seguro S.A. (BOVESPA:PSSA3)</t>
  </si>
  <si>
    <t>SNSE:POTASIOS.A</t>
  </si>
  <si>
    <t>Potasios de Chile S.A. (SNSE:POTASIOS.A)</t>
  </si>
  <si>
    <t>TSX:POW</t>
  </si>
  <si>
    <t>Power Corporation of Canada (TSX:POW)</t>
  </si>
  <si>
    <t>NASDAQGS:PRAA</t>
  </si>
  <si>
    <t>PRA Group, Inc. (NASDAQGS:PRAA)</t>
  </si>
  <si>
    <t>NASDAQGS:PFBC</t>
  </si>
  <si>
    <t>Preferred Bank (NASDAQGS:PFBC)</t>
  </si>
  <si>
    <t>NASDAQGS:PFC</t>
  </si>
  <si>
    <t>Premier Financial Corp. (NASDAQGS:PFC)</t>
  </si>
  <si>
    <t>NYSE:PRI</t>
  </si>
  <si>
    <t>Primerica, Inc. (NYSE:PRI)</t>
  </si>
  <si>
    <t>NASDAQGM:FRST</t>
  </si>
  <si>
    <t>Primis Financial Corp. (NASDAQGM:FRST)</t>
  </si>
  <si>
    <t>NASDAQGS:PFG</t>
  </si>
  <si>
    <t>Principal Financial Group, Inc. (NASDAQGS:PFG)</t>
  </si>
  <si>
    <t>NYSE:PRA</t>
  </si>
  <si>
    <t>ProAssurance Corporation (NYSE:PRA)</t>
  </si>
  <si>
    <t>NYSE:PRG</t>
  </si>
  <si>
    <t>PROG Holdings, Inc. (NYSE:PRG)</t>
  </si>
  <si>
    <t>TSX:PRL</t>
  </si>
  <si>
    <t>Propel Holdings Inc. (TSX:PRL)</t>
  </si>
  <si>
    <t>NYSE:PB</t>
  </si>
  <si>
    <t>Prosperity Bancshares, Inc. (NYSE:PB)</t>
  </si>
  <si>
    <t>NYSE:PFS</t>
  </si>
  <si>
    <t>Provident Financial Services, Inc. (NYSE:PFS)</t>
  </si>
  <si>
    <t>NYSE:PRU</t>
  </si>
  <si>
    <t>Prudential Financial, Inc. (NYSE:PRU)</t>
  </si>
  <si>
    <t>NYSE:QTWO</t>
  </si>
  <si>
    <t>Q2 Holdings, Inc. (NYSE:QTWO)</t>
  </si>
  <si>
    <t>NASDAQGM:QCRH</t>
  </si>
  <si>
    <t>QCR Holdings, Inc. (NASDAQGM:QCRH)</t>
  </si>
  <si>
    <t>BMV:Q *</t>
  </si>
  <si>
    <t>Quálitas Controladora, S.A.B. de C.V. (BMV:Q *)</t>
  </si>
  <si>
    <t>NYSE:RDN</t>
  </si>
  <si>
    <t>Radian Group Inc. (NYSE:RDN)</t>
  </si>
  <si>
    <t>NYSE:RJF</t>
  </si>
  <si>
    <t>Raymond James Financial, Inc. (NYSE:RJF)</t>
  </si>
  <si>
    <t>NASDAQGS:RBB</t>
  </si>
  <si>
    <t>RBB Bancorp (NASDAQGS:RBB)</t>
  </si>
  <si>
    <t>NYSE:RC</t>
  </si>
  <si>
    <t>Ready Capital Corporation (NYSE:RC)</t>
  </si>
  <si>
    <t>NASDAQGS:RRBI</t>
  </si>
  <si>
    <t>Red River Bancshares, Inc. (NASDAQGS:RRBI)</t>
  </si>
  <si>
    <t>NYSE:RWT</t>
  </si>
  <si>
    <t>Redwood Trust, Inc. (NYSE:RWT)</t>
  </si>
  <si>
    <t>BMV:R A</t>
  </si>
  <si>
    <t>Regional S.A.B. de C.V. (BMV:R A)</t>
  </si>
  <si>
    <t>NYSE:RF</t>
  </si>
  <si>
    <t>Regions Financial Corporation (NYSE:RF)</t>
  </si>
  <si>
    <t>NYSE:RGA</t>
  </si>
  <si>
    <t>Reinsurance Group of America, Incorporated (NYSE:RGA)</t>
  </si>
  <si>
    <t>NASDAQGS:RELY</t>
  </si>
  <si>
    <t>Remitly Global, Inc. (NASDAQGS:RELY)</t>
  </si>
  <si>
    <t>NYSE:RNR</t>
  </si>
  <si>
    <t>RenaissanceRe Holdings Ltd. (NYSE:RNR)</t>
  </si>
  <si>
    <t>NYSE:RNST</t>
  </si>
  <si>
    <t>Renasant Corporation (NYSE:RNST)</t>
  </si>
  <si>
    <t>NASDAQCM:RPAY</t>
  </si>
  <si>
    <t>Repay Holdings Corporation (NASDAQCM:RPAY)</t>
  </si>
  <si>
    <t>NASDAQGS:RBCA.A</t>
  </si>
  <si>
    <t>Republic Bancorp, Inc. (NASDAQGS:RBCA.A)</t>
  </si>
  <si>
    <t>TTSE:RFHL</t>
  </si>
  <si>
    <t>Republic Financial Holdings Limited (TTSE:RFHL)</t>
  </si>
  <si>
    <t>NYSE:RRAC</t>
  </si>
  <si>
    <t>Rigel Resource Acquisition Corp. (NYSE:RRAC)</t>
  </si>
  <si>
    <t>BVL:RIMSEGC1</t>
  </si>
  <si>
    <t>RIMAC Seguros y Reaseguros S.A. (BVL:RIMSEGC1)</t>
  </si>
  <si>
    <t>NYSE:RITM</t>
  </si>
  <si>
    <t>Rithm Capital Corp. (NYSE:RITM)</t>
  </si>
  <si>
    <t>OTCPK:RCBC</t>
  </si>
  <si>
    <t>River City Bank (OTCPK:RCBC)</t>
  </si>
  <si>
    <t>NYSE:RLI</t>
  </si>
  <si>
    <t>RLI Corp. (NYSE:RLI)</t>
  </si>
  <si>
    <t>NASDAQGS:HOOD</t>
  </si>
  <si>
    <t>Robinhood Markets, Inc. (NASDAQGS:HOOD)</t>
  </si>
  <si>
    <t>NYSE:RKT</t>
  </si>
  <si>
    <t>Rocket Companies, Inc. (NYSE:RKT)</t>
  </si>
  <si>
    <t>NYSE:RYAN</t>
  </si>
  <si>
    <t>Ryan Specialty Holdings, Inc. (NYSE:RYAN)</t>
  </si>
  <si>
    <t>NASDAQGS:STBA</t>
  </si>
  <si>
    <t>S&amp;T Bancorp, Inc. (NASDAQGS:STBA)</t>
  </si>
  <si>
    <t>NASDAQGS:SAFT</t>
  </si>
  <si>
    <t>Safety Insurance Group, Inc. (NASDAQGS:SAFT)</t>
  </si>
  <si>
    <t>NASDAQGM:SAGA</t>
  </si>
  <si>
    <t>Sagaliam Acquisition Corp. (NASDAQGM:SAGA)</t>
  </si>
  <si>
    <t>TSX:SFC</t>
  </si>
  <si>
    <t>Sagicor Financial Company Ltd. (TSX:SFC)</t>
  </si>
  <si>
    <t>JMSE:SJ</t>
  </si>
  <si>
    <t>Sagicor Group Jamaica Limited (JMSE:SJ)</t>
  </si>
  <si>
    <t>NASDAQGS:SASR</t>
  </si>
  <si>
    <t>Sandy Spring Bancorp, Inc. (NASDAQGS:SASR)</t>
  </si>
  <si>
    <t>NYSE:SAR</t>
  </si>
  <si>
    <t>Saratoga Investment Corp. (NYSE:SAR)</t>
  </si>
  <si>
    <t>JMSE:SGJ</t>
  </si>
  <si>
    <t>Scotia Group Jamaica Limited (JMSE:SGJ)</t>
  </si>
  <si>
    <t>SNSE:SCOTIABKCL</t>
  </si>
  <si>
    <t>Scotiabank Chile S.A. (SNSE:SCOTIABKCL)</t>
  </si>
  <si>
    <t>BVL:SCOTIAC1</t>
  </si>
  <si>
    <t>Scotiabank Perú S.A.A. (BVL:SCOTIAC1)</t>
  </si>
  <si>
    <t>TTSE:SBTT</t>
  </si>
  <si>
    <t>Scotiabank Trinidad and Tobago Limited (TTSE:SBTT)</t>
  </si>
  <si>
    <t>NASDAQGM:SCRM</t>
  </si>
  <si>
    <t>Screaming Eagle Acquisition Corp. (NASDAQGM:SCRM)</t>
  </si>
  <si>
    <t>NASDAQGS:SBCF</t>
  </si>
  <si>
    <t>Seacoast Banking Corporation of Florida (NASDAQGS:SBCF)</t>
  </si>
  <si>
    <t>NASDAQGS:SEIC</t>
  </si>
  <si>
    <t>SEI Investments Company (NASDAQGS:SEIC)</t>
  </si>
  <si>
    <t>NASDAQGS:SIGI</t>
  </si>
  <si>
    <t>Selective Insurance Group, Inc. (NASDAQGS:SIGI)</t>
  </si>
  <si>
    <t>TSX:SEC</t>
  </si>
  <si>
    <t>Senvest Capital Inc. (TSX:SEC)</t>
  </si>
  <si>
    <t>NYSE:SFBS</t>
  </si>
  <si>
    <t>ServisFirst Bancshares, Inc. (NYSE:SFBS)</t>
  </si>
  <si>
    <t>NYSE:FOUR</t>
  </si>
  <si>
    <t>Shift4 Payments, Inc. (NYSE:FOUR)</t>
  </si>
  <si>
    <t>NASDAQGS:SHBI</t>
  </si>
  <si>
    <t>Shore Bancshares, Inc. (NASDAQGS:SHBI)</t>
  </si>
  <si>
    <t>NASDAQGS:BSRR</t>
  </si>
  <si>
    <t>Sierra Bancorp (NASDAQGS:BSRR)</t>
  </si>
  <si>
    <t>NASDAQGS:SFNC</t>
  </si>
  <si>
    <t>Simmons First National Corporation (NASDAQGS:SFNC)</t>
  </si>
  <si>
    <t>NYSE:SPNT</t>
  </si>
  <si>
    <t>SiriusPoint Ltd. (NYSE:SPNT)</t>
  </si>
  <si>
    <t>NASDAQGS:SKWD</t>
  </si>
  <si>
    <t>Skyward Specialty Insurance Group, Inc. (NASDAQGS:SKWD)</t>
  </si>
  <si>
    <t>NASDAQGS:SLM</t>
  </si>
  <si>
    <t>SLM Corporation (NASDAQGS:SLM)</t>
  </si>
  <si>
    <t>NYSE:SMBK</t>
  </si>
  <si>
    <t>SmartFinancial, Inc. (NYSE:SMBK)</t>
  </si>
  <si>
    <t>SNSE:ORO BLANCO</t>
  </si>
  <si>
    <t>Sociedad de Inversiones Oro Blanco S.A. (SNSE:ORO BLANCO)</t>
  </si>
  <si>
    <t>SNSE:CALICHERAA</t>
  </si>
  <si>
    <t>Sociedad de Inversiones Pampa Calichera S.A. (SNSE:CALICHERAA)</t>
  </si>
  <si>
    <t>BVC:PORT</t>
  </si>
  <si>
    <t>Sociedad Portafolio SA (BVC:PORT)</t>
  </si>
  <si>
    <t>NASDAQGS:SOFI</t>
  </si>
  <si>
    <t>SoFi Technologies, Inc. (NASDAQGS:SOFI)</t>
  </si>
  <si>
    <t>NASDAQGS:SPFI</t>
  </si>
  <si>
    <t>South Plains Financial, Inc. (NASDAQGS:SPFI)</t>
  </si>
  <si>
    <t>OTCPK:SBNC</t>
  </si>
  <si>
    <t>Southern BancShares (N.C.), Inc. (OTCPK:SBNC)</t>
  </si>
  <si>
    <t>NASDAQCM:BCAL</t>
  </si>
  <si>
    <t>Southern California Bancorp (NASDAQCM:BCAL)</t>
  </si>
  <si>
    <t>NASDAQGM:SFST</t>
  </si>
  <si>
    <t>Southern First Bancshares, Inc. (NASDAQGM:SFST)</t>
  </si>
  <si>
    <t>NASDAQGM:SMBC</t>
  </si>
  <si>
    <t>Southern Missouri Bancorp, Inc. (NASDAQGM:SMBC)</t>
  </si>
  <si>
    <t>NASDAQGS:SBSI</t>
  </si>
  <si>
    <t>Southside Bancshares, Inc. (NASDAQGS:SBSI)</t>
  </si>
  <si>
    <t>NYSE:SSB</t>
  </si>
  <si>
    <t>SouthState Corporation (NYSE:SSB)</t>
  </si>
  <si>
    <t>TSX:SII</t>
  </si>
  <si>
    <t>Sprott Inc. (TSX:SII)</t>
  </si>
  <si>
    <t>NASDAQGS:SSNC</t>
  </si>
  <si>
    <t>SS&amp;C Technologies Holdings, Inc. (NASDAQGS:SSNC)</t>
  </si>
  <si>
    <t>OTCPK:STGC</t>
  </si>
  <si>
    <t>StartEngine Crowdfunding, Inc. (OTCPK:STGC)</t>
  </si>
  <si>
    <t>NYSE:STWD</t>
  </si>
  <si>
    <t>Starwood Property Trust, Inc. (NYSE:STWD)</t>
  </si>
  <si>
    <t>NYSE:STT</t>
  </si>
  <si>
    <t>State Street Corporation (NYSE:STT)</t>
  </si>
  <si>
    <t>NYSE:STEL</t>
  </si>
  <si>
    <t>Stellar Bancorp, Inc. (NYSE:STEL)</t>
  </si>
  <si>
    <t>NASDAQGS:STEP</t>
  </si>
  <si>
    <t>StepStone Group LP (NASDAQGS:STEP)</t>
  </si>
  <si>
    <t>NYSE:STC</t>
  </si>
  <si>
    <t>Stewart Information Services Corporation (NYSE:STC)</t>
  </si>
  <si>
    <t>NYSE:SF</t>
  </si>
  <si>
    <t>Stifel Financial Corp. (NYSE:SF)</t>
  </si>
  <si>
    <t>NASDAQGS:SYBT</t>
  </si>
  <si>
    <t>Stock Yards Bancorp, Inc. (NASDAQGS:SYBT)</t>
  </si>
  <si>
    <t>NASDAQGS:STNE</t>
  </si>
  <si>
    <t>StoneCo Ltd. (NASDAQGS:STNE)</t>
  </si>
  <si>
    <t>NASDAQGS:SNEX</t>
  </si>
  <si>
    <t>StoneX Group Inc. (NASDAQGS:SNEX)</t>
  </si>
  <si>
    <t>NASDAQGS:SMMF</t>
  </si>
  <si>
    <t>Summit Financial Group, Inc. (NASDAQGS:SMMF)</t>
  </si>
  <si>
    <t>TSX:SLF</t>
  </si>
  <si>
    <t>Sun Life Financial Inc. (TSX:SLF)</t>
  </si>
  <si>
    <t>NYSE:SYF</t>
  </si>
  <si>
    <t>Synchrony Financial (NYSE:SYF)</t>
  </si>
  <si>
    <t>NYSE:SNV</t>
  </si>
  <si>
    <t>Synovus Financial Corp. (NYSE:SNV)</t>
  </si>
  <si>
    <t>NASDAQGS:TROW</t>
  </si>
  <si>
    <t>T. Rowe Price Group, Inc. (NASDAQGS:TROW)</t>
  </si>
  <si>
    <t>NASDAQGS:TCBI</t>
  </si>
  <si>
    <t>Texas Capital Bancshares, Inc. (NASDAQGS:TCBI)</t>
  </si>
  <si>
    <t>NASDAQGS:TFSL</t>
  </si>
  <si>
    <t>TFS Financial Corporation (NASDAQGS:TFSL)</t>
  </si>
  <si>
    <t>NYSE:ALL</t>
  </si>
  <si>
    <t>The Allstate Corporation (NYSE:ALL)</t>
  </si>
  <si>
    <t>NASDAQGS:TBBK</t>
  </si>
  <si>
    <t>The Bancorp, Inc. (NASDAQGS:TBBK)</t>
  </si>
  <si>
    <t>NYSE:NTB</t>
  </si>
  <si>
    <t>The Bank of N.T. Butterfield &amp; Son Limited (NYSE:NTB)</t>
  </si>
  <si>
    <t>NYSE:BK</t>
  </si>
  <si>
    <t>The Bank of New York Mellon Corporation (NYSE:BK)</t>
  </si>
  <si>
    <t>NASDAQGS:CG</t>
  </si>
  <si>
    <t>The Carlyle Group Inc. (NASDAQGS:CG)</t>
  </si>
  <si>
    <t>NASDAQGM:FBMS</t>
  </si>
  <si>
    <t>The First Bancshares, Inc. (NASDAQGM:FBMS)</t>
  </si>
  <si>
    <t>NYSE:THG</t>
  </si>
  <si>
    <t>The Hanover Insurance Group, Inc. (NYSE:THG)</t>
  </si>
  <si>
    <t>NYSE:HIG</t>
  </si>
  <si>
    <t>The Hartford Financial Services Group, Inc. (NYSE:HIG)</t>
  </si>
  <si>
    <t>NYSE:TRV</t>
  </si>
  <si>
    <t>The Travelers Companies, Inc. (NYSE:TRV)</t>
  </si>
  <si>
    <t>TSXV:WED</t>
  </si>
  <si>
    <t>The Westaim Corporation (TSXV:WED)</t>
  </si>
  <si>
    <t>OTCPK:THVB</t>
  </si>
  <si>
    <t>Thomasville Bancshares, Inc. (OTCPK:THVB)</t>
  </si>
  <si>
    <t>TSX:TF</t>
  </si>
  <si>
    <t>Timbercreek Financial Corp. (TSX:TF)</t>
  </si>
  <si>
    <t>NASDAQCM:TIPT</t>
  </si>
  <si>
    <t>Tiptree Inc. (NASDAQCM:TIPT)</t>
  </si>
  <si>
    <t>TSX:X</t>
  </si>
  <si>
    <t>TMX Group Limited (TSX:X)</t>
  </si>
  <si>
    <t>NYSE:TOST</t>
  </si>
  <si>
    <t>Toast, Inc. (NYSE:TOST)</t>
  </si>
  <si>
    <t>NYSEAM:TMP</t>
  </si>
  <si>
    <t>Tompkins Financial Corporation (NYSEAM:TMP)</t>
  </si>
  <si>
    <t>NASDAQGS:TOWN</t>
  </si>
  <si>
    <t>TowneBank (NASDAQGS:TOWN)</t>
  </si>
  <si>
    <t>NASDAQGS:TPG</t>
  </si>
  <si>
    <t>TPG Inc. (NASDAQGS:TPG)</t>
  </si>
  <si>
    <t>NYSE:TRTX</t>
  </si>
  <si>
    <t>TPG RE Finance Trust, Inc. (NYSE:TRTX)</t>
  </si>
  <si>
    <t>NASDAQGS:TW</t>
  </si>
  <si>
    <t>Tradeweb Markets Inc. (NASDAQGS:TW)</t>
  </si>
  <si>
    <t>NYSE:TRU</t>
  </si>
  <si>
    <t>TransUnion (NYSE:TRU)</t>
  </si>
  <si>
    <t>NASDAQGS:TCBK</t>
  </si>
  <si>
    <t>TriCo Bancshares (NASDAQGS:TCBK)</t>
  </si>
  <si>
    <t>NASDAQGS:TRIN</t>
  </si>
  <si>
    <t>Trinity Capital Inc. (NASDAQGS:TRIN)</t>
  </si>
  <si>
    <t>TSX:TSU</t>
  </si>
  <si>
    <t>Trisura Group Ltd. (TSX:TSU)</t>
  </si>
  <si>
    <t>NASDAQGS:TFIN</t>
  </si>
  <si>
    <t>Triumph Financial, Inc. (NASDAQGS:TFIN)</t>
  </si>
  <si>
    <t>NYSE:TFC</t>
  </si>
  <si>
    <t>Truist Financial Corporation (NYSE:TFC)</t>
  </si>
  <si>
    <t>NASDAQGM:TRUP</t>
  </si>
  <si>
    <t>Trupanion, Inc. (NASDAQGM:TRUP)</t>
  </si>
  <si>
    <t>NASDAQGS:TRST</t>
  </si>
  <si>
    <t>TrustCo Bank Corp NY (NASDAQGS:TRST)</t>
  </si>
  <si>
    <t>NASDAQGS:TRMK</t>
  </si>
  <si>
    <t>Trustmark Corporation (NASDAQGS:TRMK)</t>
  </si>
  <si>
    <t>NYSE:TWO</t>
  </si>
  <si>
    <t>Two Harbors Investment Corp. (NYSE:TWO)</t>
  </si>
  <si>
    <t>NASDAQGS:UMBF</t>
  </si>
  <si>
    <t>UMB Financial Corporation (NASDAQGS:UMBF)</t>
  </si>
  <si>
    <t>NASDAQGS:UBSI</t>
  </si>
  <si>
    <t>United Bankshares, Inc. (NASDAQGS:UBSI)</t>
  </si>
  <si>
    <t>NASDAQGS:UCBI</t>
  </si>
  <si>
    <t>United Community Banks, Inc. (NASDAQGS:UCBI)</t>
  </si>
  <si>
    <t>NASDAQGS:UFCS</t>
  </si>
  <si>
    <t>United Fire Group, Inc. (NASDAQGS:UFCS)</t>
  </si>
  <si>
    <t>NYSE:UVE</t>
  </si>
  <si>
    <t>Universal Insurance Holdings, Inc. (NYSE:UVE)</t>
  </si>
  <si>
    <t>NASDAQGS:UVSP</t>
  </si>
  <si>
    <t>Univest Financial Corporation (NASDAQGS:UVSP)</t>
  </si>
  <si>
    <t>NYSE:UNM</t>
  </si>
  <si>
    <t>Unum Group (NYSE:UNM)</t>
  </si>
  <si>
    <t>NASDAQGS:UPST</t>
  </si>
  <si>
    <t>Upstart Holdings, Inc. (NASDAQGS:UPST)</t>
  </si>
  <si>
    <t>NYSE:UWMC</t>
  </si>
  <si>
    <t>UWM Holdings Corporation (NYSE:UWMC)</t>
  </si>
  <si>
    <t>NASDAQGS:VLY</t>
  </si>
  <si>
    <t>Valley National Bancorp (NASDAQGS:VLY)</t>
  </si>
  <si>
    <t>BMV:VALUEGF O</t>
  </si>
  <si>
    <t>Value Grupo Financiero, S.A.B. de C.V. (BMV:VALUEGF O)</t>
  </si>
  <si>
    <t>NASDAQCM:VALU</t>
  </si>
  <si>
    <t>Value Line, Inc. (NASDAQCM:VALU)</t>
  </si>
  <si>
    <t>NYSE:VEL</t>
  </si>
  <si>
    <t>Velocity Financial, Inc. (NYSE:VEL)</t>
  </si>
  <si>
    <t>NASDAQGS:VRSK</t>
  </si>
  <si>
    <t>Verisk Analytics, Inc. (NASDAQGS:VRSK)</t>
  </si>
  <si>
    <t>NASDAQGM:VBTX</t>
  </si>
  <si>
    <t>Veritex Holdings, Inc. (NASDAQGM:VBTX)</t>
  </si>
  <si>
    <t>NASDAQGS:VCTR</t>
  </si>
  <si>
    <t>Victory Capital Holdings, Inc. (NASDAQGS:VCTR)</t>
  </si>
  <si>
    <t>NASDAQGS:VINP</t>
  </si>
  <si>
    <t>Vinci Partners Investments Ltd. (NASDAQGS:VINP)</t>
  </si>
  <si>
    <t>NASDAQGS:VIRT</t>
  </si>
  <si>
    <t>Virtu Financial, Inc. (NASDAQGS:VIRT)</t>
  </si>
  <si>
    <t>NYSE:VRTS</t>
  </si>
  <si>
    <t>Virtus Investment Partners, Inc. (NYSE:VRTS)</t>
  </si>
  <si>
    <t>NYSE:VOYA</t>
  </si>
  <si>
    <t>Voya Financial, Inc. (NYSE:VOYA)</t>
  </si>
  <si>
    <t>NYSE:WRB</t>
  </si>
  <si>
    <t>W. R. Berkley Corporation (NYSE:WRB)</t>
  </si>
  <si>
    <t>OTCPK:WTBF.B</t>
  </si>
  <si>
    <t>W.T.B. Financial Corporation (OTCPK:WTBF.B)</t>
  </si>
  <si>
    <t>NASDAQGS:WAFD</t>
  </si>
  <si>
    <t>WaFd, Inc (NASDAQGS:WAFD)</t>
  </si>
  <si>
    <t>NYSE:WD</t>
  </si>
  <si>
    <t>Walker &amp; Dunlop, Inc. (NYSE:WD)</t>
  </si>
  <si>
    <t>NASDAQGS:WASH</t>
  </si>
  <si>
    <t>Washington Trust Bancorp, Inc. (NASDAQGS:WASH)</t>
  </si>
  <si>
    <t>NYSE:WBS</t>
  </si>
  <si>
    <t>Webster Financial Corporation (NYSE:WBS)</t>
  </si>
  <si>
    <t>NASDAQGS:WSBC</t>
  </si>
  <si>
    <t>WesBanco, Inc. (NASDAQGS:WSBC)</t>
  </si>
  <si>
    <t>NASDAQGS:WTBA</t>
  </si>
  <si>
    <t>West Bancorporation, Inc. (NASDAQGS:WTBA)</t>
  </si>
  <si>
    <t>NASDAQGS:WABC</t>
  </si>
  <si>
    <t>Westamerica Bancorporation (NASDAQGS:WABC)</t>
  </si>
  <si>
    <t>NYSE:WAL</t>
  </si>
  <si>
    <t>Western Alliance Bancorporation (NYSE:WAL)</t>
  </si>
  <si>
    <t>NYSE:WEX</t>
  </si>
  <si>
    <t>WEX Inc. (NYSE:WEX)</t>
  </si>
  <si>
    <t>NYSE:WTM</t>
  </si>
  <si>
    <t>White Mountains Insurance Group, Ltd. (NYSE:WTM)</t>
  </si>
  <si>
    <t>OTCPK:WBHC</t>
  </si>
  <si>
    <t>Wilson Bank Holding Company (OTCPK:WBHC)</t>
  </si>
  <si>
    <t>NASDAQGS:WTFC</t>
  </si>
  <si>
    <t>Wintrust Financial Corporation (NASDAQGS:WTFC)</t>
  </si>
  <si>
    <t>NYSE:WT</t>
  </si>
  <si>
    <t>WisdomTree, Inc. (NYSE:WT)</t>
  </si>
  <si>
    <t>NASDAQGS:WRLD</t>
  </si>
  <si>
    <t>World Acceptance Corporation (NASDAQGS:WRLD)</t>
  </si>
  <si>
    <t>NASDAQGS:WSFS</t>
  </si>
  <si>
    <t>WSFS Financial Corporation (NASDAQGS:WSFS)</t>
  </si>
  <si>
    <t>NASDAQGS:XP</t>
  </si>
  <si>
    <t>XP Inc. (NASDAQGS:XP)</t>
  </si>
  <si>
    <t>NASDAQGS:ZION</t>
  </si>
  <si>
    <t>Zions Bancorporation, National Association (NASDAQGS:ZION)</t>
  </si>
  <si>
    <t>NA</t>
  </si>
  <si>
    <t>NM</t>
  </si>
  <si>
    <t>#INVALID COMPANY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</si>
</sst>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#,##0.00;\(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1" applyNumberFormat="1" applyFont="1" applyFill="1"/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" fontId="0" fillId="0" borderId="0" xfId="0" applyNumberFormat="1"/>
    <xf numFmtId="166" fontId="0" fillId="0" borderId="0" xfId="0" applyNumberFormat="1" applyAlignment="1">
      <alignment horizontal="right" vertical="top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AE84-4F97-3247-A18B-978D98F853B5}">
  <dimension ref="A1:AE679"/>
  <sheetViews>
    <sheetView tabSelected="1" zoomScale="105" zoomScaleNormal="70" workbookViewId="0">
      <selection activeCell="B26" sqref="B26"/>
    </sheetView>
  </sheetViews>
  <sheetFormatPr baseColWidth="10" defaultColWidth="8.83203125" defaultRowHeight="15" x14ac:dyDescent="0.2"/>
  <cols>
    <col min="1" max="1" width="20.83203125" customWidth="1"/>
    <col min="2" max="2" width="26.5" bestFit="1" customWidth="1"/>
    <col min="3" max="3" width="12.1640625" bestFit="1" customWidth="1"/>
    <col min="4" max="4" width="17.33203125" bestFit="1" customWidth="1"/>
    <col min="5" max="5" width="9.33203125" bestFit="1" customWidth="1"/>
    <col min="6" max="6" width="17.5" bestFit="1" customWidth="1"/>
    <col min="7" max="7" width="16.83203125" bestFit="1" customWidth="1"/>
    <col min="8" max="8" width="12.83203125" bestFit="1" customWidth="1"/>
    <col min="9" max="9" width="14.83203125" bestFit="1" customWidth="1"/>
    <col min="10" max="10" width="13" bestFit="1" customWidth="1"/>
    <col min="11" max="11" width="12.1640625" bestFit="1" customWidth="1"/>
    <col min="12" max="12" width="27.5" bestFit="1" customWidth="1"/>
    <col min="14" max="15" width="23.83203125" bestFit="1" customWidth="1"/>
    <col min="16" max="16" width="25" bestFit="1" customWidth="1"/>
    <col min="17" max="17" width="7.83203125" customWidth="1"/>
    <col min="18" max="18" width="23.83203125" bestFit="1" customWidth="1"/>
    <col min="19" max="19" width="14.33203125" bestFit="1" customWidth="1"/>
    <col min="21" max="21" width="22.1640625" bestFit="1" customWidth="1"/>
    <col min="25" max="26" width="48.5" customWidth="1"/>
    <col min="27" max="27" width="24.83203125" bestFit="1" customWidth="1"/>
    <col min="28" max="29" width="48.5" customWidth="1"/>
    <col min="30" max="30" width="24.83203125" bestFit="1" customWidth="1"/>
    <col min="31" max="31" width="31.16406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R1" t="s">
        <v>15</v>
      </c>
      <c r="S1" t="s">
        <v>16</v>
      </c>
      <c r="U1" t="s">
        <v>17</v>
      </c>
      <c r="AB1" t="s">
        <v>18</v>
      </c>
      <c r="AC1" t="s">
        <v>19</v>
      </c>
      <c r="AD1" t="s">
        <v>20</v>
      </c>
      <c r="AE1" t="s">
        <v>21</v>
      </c>
    </row>
    <row r="2" spans="1:31" x14ac:dyDescent="0.2">
      <c r="A2" s="1" t="s">
        <v>22</v>
      </c>
      <c r="B2" s="2">
        <v>74.284999999999997</v>
      </c>
      <c r="C2" s="3" t="s">
        <v>1408</v>
      </c>
      <c r="D2" s="2" t="s">
        <v>1409</v>
      </c>
      <c r="E2" s="2">
        <v>1.5387470000000001</v>
      </c>
      <c r="F2" s="4">
        <v>10.754</v>
      </c>
      <c r="G2" s="4" t="s">
        <v>1408</v>
      </c>
      <c r="H2" s="2">
        <v>7.2409999999999997</v>
      </c>
      <c r="I2" s="4">
        <v>0.29899999999999999</v>
      </c>
      <c r="J2" s="4" t="s">
        <v>1408</v>
      </c>
      <c r="K2" s="4">
        <v>4.7573559999999997</v>
      </c>
      <c r="L2" s="4">
        <v>24.808371000000001</v>
      </c>
      <c r="N2" s="5">
        <v>-14019.766</v>
      </c>
      <c r="O2" s="5">
        <v>34812.980000000003</v>
      </c>
      <c r="P2" s="6">
        <v>-0.402716630406245</v>
      </c>
      <c r="Q2" s="1"/>
      <c r="R2" s="7" t="e">
        <f ca="1">_xll.SNL.Clients.Office.Excel.Functions.SPG(A2, "SP_TOTAL_DEBT", "LTM")</f>
        <v>#NAME?</v>
      </c>
      <c r="S2" s="8" t="e">
        <f ca="1">_xll.SNL.Clients.Office.Excel.Functions.SPG(A2, "SP_DEBT_TO_EQUITY", "LTM")</f>
        <v>#NAME?</v>
      </c>
      <c r="U2" s="9" t="e">
        <f ca="1">N2/R2</f>
        <v>#NAME?</v>
      </c>
      <c r="Y2" s="1"/>
      <c r="Z2" s="1"/>
      <c r="AA2" s="10"/>
      <c r="AB2" s="1" t="s">
        <v>23</v>
      </c>
      <c r="AC2" s="1" t="s">
        <v>24</v>
      </c>
      <c r="AD2" s="10">
        <v>786.13997385000005</v>
      </c>
      <c r="AE2" s="1" t="s">
        <v>25</v>
      </c>
    </row>
    <row r="3" spans="1:31" x14ac:dyDescent="0.2">
      <c r="A3" s="1" t="s">
        <v>26</v>
      </c>
      <c r="B3" s="2">
        <v>-4.9240000000000004</v>
      </c>
      <c r="C3" s="3" t="s">
        <v>1409</v>
      </c>
      <c r="D3" s="2">
        <v>-32.737000000000002</v>
      </c>
      <c r="E3" s="2" t="s">
        <v>1409</v>
      </c>
      <c r="F3" s="4">
        <v>-6.3860000000000001</v>
      </c>
      <c r="G3" s="4">
        <v>-41.5904002638405</v>
      </c>
      <c r="H3" s="2">
        <v>22.603000000000002</v>
      </c>
      <c r="I3" s="4">
        <v>9.0999999999999998E-2</v>
      </c>
      <c r="J3" s="4" t="s">
        <v>1408</v>
      </c>
      <c r="K3" s="4">
        <v>0.78685899999999998</v>
      </c>
      <c r="L3" s="4">
        <v>1.304406</v>
      </c>
      <c r="N3" s="5">
        <v>-31064.75</v>
      </c>
      <c r="O3" s="5">
        <v>485</v>
      </c>
      <c r="P3" s="6">
        <v>-64.051030927835058</v>
      </c>
      <c r="Q3" s="1"/>
      <c r="R3" s="7" t="e">
        <f ca="1">_xll.SNL.Clients.Office.Excel.Functions.SPG(A3, "SP_TOTAL_DEBT", "LTM")</f>
        <v>#NAME?</v>
      </c>
      <c r="S3" s="8" t="e">
        <f ca="1">_xll.SNL.Clients.Office.Excel.Functions.SPG(A3, "SP_DEBT_TO_EQUITY", "LTM")</f>
        <v>#NAME?</v>
      </c>
      <c r="U3" s="9" t="e">
        <f t="shared" ref="U3:U66" ca="1" si="0">N3/R3</f>
        <v>#NAME?</v>
      </c>
      <c r="Y3" s="1"/>
      <c r="Z3" s="1"/>
      <c r="AA3" s="10"/>
      <c r="AB3" s="1" t="s">
        <v>27</v>
      </c>
      <c r="AC3" s="1" t="s">
        <v>28</v>
      </c>
      <c r="AD3" s="10">
        <v>390.55551902000002</v>
      </c>
      <c r="AE3" s="1" t="s">
        <v>25</v>
      </c>
    </row>
    <row r="4" spans="1:31" x14ac:dyDescent="0.2">
      <c r="A4" s="1" t="s">
        <v>29</v>
      </c>
      <c r="B4" s="2">
        <v>5.3849999999999998</v>
      </c>
      <c r="C4" s="3">
        <v>14.814814814814801</v>
      </c>
      <c r="D4" s="2">
        <v>3.7429999999999999</v>
      </c>
      <c r="E4" s="2">
        <v>35.928659000000003</v>
      </c>
      <c r="F4" s="4">
        <v>4.1769999999999996</v>
      </c>
      <c r="G4" s="4">
        <v>11.7253845127725</v>
      </c>
      <c r="H4" s="2">
        <v>1.2969999999999999</v>
      </c>
      <c r="I4" s="4">
        <v>0.438</v>
      </c>
      <c r="J4" s="4" t="s">
        <v>1408</v>
      </c>
      <c r="K4" s="4">
        <v>2.6223179999999999</v>
      </c>
      <c r="L4" s="4">
        <v>14.224681</v>
      </c>
      <c r="N4" s="5">
        <v>185090.375</v>
      </c>
      <c r="O4" s="5">
        <v>89121</v>
      </c>
      <c r="P4" s="6">
        <v>2.0768435610013354</v>
      </c>
      <c r="Q4" s="1"/>
      <c r="R4" s="7" t="e">
        <f ca="1">_xll.SNL.Clients.Office.Excel.Functions.SPG(A4, "SP_TOTAL_DEBT", "LTM")</f>
        <v>#NAME?</v>
      </c>
      <c r="S4" s="8" t="e">
        <f ca="1">_xll.SNL.Clients.Office.Excel.Functions.SPG(A4, "SP_DEBT_TO_EQUITY", "LTM")</f>
        <v>#NAME?</v>
      </c>
      <c r="U4" s="9" t="e">
        <f t="shared" ca="1" si="0"/>
        <v>#NAME?</v>
      </c>
      <c r="Y4" s="1"/>
      <c r="Z4" s="1"/>
      <c r="AA4" s="10"/>
      <c r="AB4" s="1" t="s">
        <v>30</v>
      </c>
      <c r="AC4" s="1" t="s">
        <v>31</v>
      </c>
      <c r="AD4" s="10">
        <v>3269.2866274500002</v>
      </c>
      <c r="AE4" s="1" t="s">
        <v>25</v>
      </c>
    </row>
    <row r="5" spans="1:31" x14ac:dyDescent="0.2">
      <c r="A5" s="1" t="s">
        <v>32</v>
      </c>
      <c r="B5" s="2" t="s">
        <v>1408</v>
      </c>
      <c r="C5" s="3">
        <v>-10.602409638554199</v>
      </c>
      <c r="D5" s="2">
        <v>-5.1999999999999998E-2</v>
      </c>
      <c r="E5" s="2">
        <v>9.7870620000000006</v>
      </c>
      <c r="F5" s="4">
        <v>1.282</v>
      </c>
      <c r="G5" s="4">
        <v>12.2303102348954</v>
      </c>
      <c r="H5" s="2" t="s">
        <v>1408</v>
      </c>
      <c r="I5" s="4" t="s">
        <v>1408</v>
      </c>
      <c r="J5" s="4">
        <v>40.193461710703097</v>
      </c>
      <c r="K5" s="4">
        <v>1.1138380000000001</v>
      </c>
      <c r="L5" s="4" t="s">
        <v>1408</v>
      </c>
      <c r="N5" s="5" t="s">
        <v>1408</v>
      </c>
      <c r="O5" s="5">
        <v>31688</v>
      </c>
      <c r="P5" s="6" t="e">
        <v>#VALUE!</v>
      </c>
      <c r="Q5" s="1"/>
      <c r="R5" s="7" t="e">
        <f ca="1">_xll.SNL.Clients.Office.Excel.Functions.SPG(A5, "SP_TOTAL_DEBT", "LTM")</f>
        <v>#NAME?</v>
      </c>
      <c r="S5" s="8" t="e">
        <f ca="1">_xll.SNL.Clients.Office.Excel.Functions.SPG(A5, "SP_DEBT_TO_EQUITY", "LTM")</f>
        <v>#NAME?</v>
      </c>
      <c r="U5" s="9" t="e">
        <f t="shared" ca="1" si="0"/>
        <v>#VALUE!</v>
      </c>
      <c r="Y5" s="1"/>
      <c r="Z5" s="1"/>
      <c r="AA5" s="10"/>
      <c r="AB5" s="1" t="s">
        <v>33</v>
      </c>
      <c r="AC5" s="1" t="s">
        <v>34</v>
      </c>
      <c r="AD5" s="10">
        <v>332.20201058999999</v>
      </c>
      <c r="AE5" s="1" t="s">
        <v>25</v>
      </c>
    </row>
    <row r="6" spans="1:31" x14ac:dyDescent="0.2">
      <c r="A6" s="1" t="s">
        <v>35</v>
      </c>
      <c r="B6" s="2">
        <v>0.59299999999999997</v>
      </c>
      <c r="C6" s="3" t="s">
        <v>1408</v>
      </c>
      <c r="D6" s="2">
        <v>5.8029999999999999</v>
      </c>
      <c r="E6" s="2">
        <v>5.9406889999999999</v>
      </c>
      <c r="F6" s="4">
        <v>0.61199999999999999</v>
      </c>
      <c r="G6" s="4" t="s">
        <v>1408</v>
      </c>
      <c r="H6" s="2">
        <v>1.0069999999999999</v>
      </c>
      <c r="I6" s="4">
        <v>1.4999999999999999E-2</v>
      </c>
      <c r="J6" s="4" t="s">
        <v>1408</v>
      </c>
      <c r="K6" s="4">
        <v>0.93168600000000001</v>
      </c>
      <c r="L6" s="4" t="s">
        <v>1408</v>
      </c>
      <c r="N6" s="5" t="s">
        <v>1408</v>
      </c>
      <c r="O6" s="5">
        <v>378791.58799999999</v>
      </c>
      <c r="P6" s="6" t="e">
        <v>#VALUE!</v>
      </c>
      <c r="Q6" s="1"/>
      <c r="R6" s="7" t="e">
        <f ca="1">_xll.SNL.Clients.Office.Excel.Functions.SPG(A6, "SP_TOTAL_DEBT", "LTM")</f>
        <v>#NAME?</v>
      </c>
      <c r="S6" s="8" t="e">
        <f ca="1">_xll.SNL.Clients.Office.Excel.Functions.SPG(A6, "SP_DEBT_TO_EQUITY", "LTM")</f>
        <v>#NAME?</v>
      </c>
      <c r="U6" s="9" t="e">
        <f t="shared" ca="1" si="0"/>
        <v>#VALUE!</v>
      </c>
      <c r="Y6" s="1"/>
      <c r="Z6" s="1"/>
      <c r="AA6" s="10"/>
      <c r="AB6" s="1" t="s">
        <v>36</v>
      </c>
      <c r="AC6" s="1" t="s">
        <v>37</v>
      </c>
      <c r="AD6" s="10">
        <v>2193.9072936799998</v>
      </c>
      <c r="AE6" s="1" t="s">
        <v>25</v>
      </c>
    </row>
    <row r="7" spans="1:31" x14ac:dyDescent="0.2">
      <c r="A7" s="1" t="s">
        <v>38</v>
      </c>
      <c r="B7" s="2">
        <v>2.1869999999999998</v>
      </c>
      <c r="C7" s="3" t="s">
        <v>1408</v>
      </c>
      <c r="D7" s="2">
        <v>36.128</v>
      </c>
      <c r="E7" s="2">
        <v>5.1696410000000004</v>
      </c>
      <c r="F7" s="4">
        <v>2.02</v>
      </c>
      <c r="G7" s="4" t="s">
        <v>1408</v>
      </c>
      <c r="H7" s="2">
        <v>1.1579999999999999</v>
      </c>
      <c r="I7" s="4">
        <v>3.9E-2</v>
      </c>
      <c r="J7" s="4" t="s">
        <v>1408</v>
      </c>
      <c r="K7" s="4">
        <v>0.82926800000000001</v>
      </c>
      <c r="L7" s="4" t="s">
        <v>1408</v>
      </c>
      <c r="N7" s="5" t="s">
        <v>1408</v>
      </c>
      <c r="O7" s="5">
        <v>99614.645000000004</v>
      </c>
      <c r="P7" s="6" t="e">
        <v>#VALUE!</v>
      </c>
      <c r="Q7" s="1"/>
      <c r="R7" s="7" t="e">
        <f ca="1">_xll.SNL.Clients.Office.Excel.Functions.SPG(A7, "SP_TOTAL_DEBT", "LTM")</f>
        <v>#NAME?</v>
      </c>
      <c r="S7" s="8" t="e">
        <f ca="1">_xll.SNL.Clients.Office.Excel.Functions.SPG(A7, "SP_DEBT_TO_EQUITY", "LTM")</f>
        <v>#NAME?</v>
      </c>
      <c r="U7" s="9" t="e">
        <f t="shared" ca="1" si="0"/>
        <v>#VALUE!</v>
      </c>
      <c r="Y7" s="1"/>
      <c r="Z7" s="1"/>
      <c r="AA7" s="10"/>
      <c r="AB7" s="1" t="s">
        <v>39</v>
      </c>
      <c r="AC7" s="1" t="s">
        <v>37</v>
      </c>
      <c r="AD7" s="10">
        <v>512.25888420000001</v>
      </c>
      <c r="AE7" s="1" t="s">
        <v>25</v>
      </c>
    </row>
    <row r="8" spans="1:31" x14ac:dyDescent="0.2">
      <c r="A8" s="1" t="s">
        <v>40</v>
      </c>
      <c r="B8" s="2">
        <v>15.315</v>
      </c>
      <c r="C8" s="3" t="s">
        <v>1408</v>
      </c>
      <c r="D8" s="2">
        <v>9.5410000000000004</v>
      </c>
      <c r="E8" s="2" t="s">
        <v>1408</v>
      </c>
      <c r="F8" s="4">
        <v>12.199</v>
      </c>
      <c r="G8" s="4" t="s">
        <v>1408</v>
      </c>
      <c r="H8" s="2">
        <v>1.694</v>
      </c>
      <c r="I8" s="4">
        <v>0.34300000000000003</v>
      </c>
      <c r="J8" s="4" t="s">
        <v>1408</v>
      </c>
      <c r="K8" s="4" t="s">
        <v>1408</v>
      </c>
      <c r="L8" s="4">
        <v>5.2257220000000002</v>
      </c>
      <c r="N8" s="5">
        <v>114211.69100000001</v>
      </c>
      <c r="O8" s="5">
        <v>98657.62</v>
      </c>
      <c r="P8" s="6">
        <v>1.1576570669351238</v>
      </c>
      <c r="Q8" s="1"/>
      <c r="R8" s="7" t="e">
        <f ca="1">_xll.SNL.Clients.Office.Excel.Functions.SPG(A8, "SP_TOTAL_DEBT", "LTM")</f>
        <v>#NAME?</v>
      </c>
      <c r="S8" s="8" t="e">
        <f ca="1">_xll.SNL.Clients.Office.Excel.Functions.SPG(A8, "SP_DEBT_TO_EQUITY", "LTM")</f>
        <v>#NAME?</v>
      </c>
      <c r="U8" s="9" t="e">
        <f t="shared" ca="1" si="0"/>
        <v>#NAME?</v>
      </c>
      <c r="Y8" s="1"/>
      <c r="Z8" s="1"/>
      <c r="AA8" s="10"/>
      <c r="AB8" s="1" t="s">
        <v>41</v>
      </c>
      <c r="AC8" s="1" t="s">
        <v>37</v>
      </c>
      <c r="AD8" s="10">
        <v>837.53405134969898</v>
      </c>
      <c r="AE8" s="1" t="s">
        <v>42</v>
      </c>
    </row>
    <row r="9" spans="1:31" x14ac:dyDescent="0.2">
      <c r="A9" s="1" t="s">
        <v>43</v>
      </c>
      <c r="B9" s="2">
        <v>6.3319999999999999</v>
      </c>
      <c r="C9" s="3" t="s">
        <v>1408</v>
      </c>
      <c r="D9" s="2">
        <v>6.242</v>
      </c>
      <c r="E9" s="2" t="s">
        <v>1408</v>
      </c>
      <c r="F9" s="4">
        <v>5.952</v>
      </c>
      <c r="G9" s="4" t="s">
        <v>1408</v>
      </c>
      <c r="H9" s="2">
        <v>2.2160000000000002</v>
      </c>
      <c r="I9" s="4">
        <v>0.20799999999999999</v>
      </c>
      <c r="J9" s="4" t="s">
        <v>1408</v>
      </c>
      <c r="K9" s="4">
        <v>0.92146499999999998</v>
      </c>
      <c r="L9" s="4">
        <v>5.2250350000000001</v>
      </c>
      <c r="N9" s="5">
        <v>87449.024000000005</v>
      </c>
      <c r="O9" s="5">
        <v>68842.217999999993</v>
      </c>
      <c r="P9" s="6">
        <v>1.2702819075352862</v>
      </c>
      <c r="Q9" s="1"/>
      <c r="R9" s="7" t="e">
        <f ca="1">_xll.SNL.Clients.Office.Excel.Functions.SPG(A9, "SP_TOTAL_DEBT", "LTM")</f>
        <v>#NAME?</v>
      </c>
      <c r="S9" s="8" t="e">
        <f ca="1">_xll.SNL.Clients.Office.Excel.Functions.SPG(A9, "SP_DEBT_TO_EQUITY", "LTM")</f>
        <v>#NAME?</v>
      </c>
      <c r="U9" s="9" t="e">
        <f t="shared" ca="1" si="0"/>
        <v>#NAME?</v>
      </c>
      <c r="Y9" s="1"/>
      <c r="Z9" s="1"/>
      <c r="AA9" s="10"/>
      <c r="AB9" s="1" t="s">
        <v>44</v>
      </c>
      <c r="AC9" s="1" t="s">
        <v>37</v>
      </c>
      <c r="AD9" s="10">
        <v>632.32936068830895</v>
      </c>
      <c r="AE9" s="1" t="s">
        <v>42</v>
      </c>
    </row>
    <row r="10" spans="1:31" x14ac:dyDescent="0.2">
      <c r="A10" s="1" t="s">
        <v>45</v>
      </c>
      <c r="B10" s="2">
        <v>23.052</v>
      </c>
      <c r="C10" s="3" t="s">
        <v>1408</v>
      </c>
      <c r="D10" s="2">
        <v>4.9429999999999996</v>
      </c>
      <c r="E10" s="2" t="s">
        <v>1408</v>
      </c>
      <c r="F10" s="4">
        <v>18.713000000000001</v>
      </c>
      <c r="G10" s="4" t="s">
        <v>1408</v>
      </c>
      <c r="H10" s="2">
        <v>1.1950000000000001</v>
      </c>
      <c r="I10" s="4">
        <v>0.47199999999999998</v>
      </c>
      <c r="J10" s="4" t="s">
        <v>1408</v>
      </c>
      <c r="K10" s="4" t="s">
        <v>1408</v>
      </c>
      <c r="L10" s="4">
        <v>4.6872939999999996</v>
      </c>
      <c r="N10" s="5">
        <v>137789.48499999999</v>
      </c>
      <c r="O10" s="5">
        <v>119654.17600000001</v>
      </c>
      <c r="P10" s="6">
        <v>1.1515643632864094</v>
      </c>
      <c r="Q10" s="1"/>
      <c r="R10" s="7" t="e">
        <f ca="1">_xll.SNL.Clients.Office.Excel.Functions.SPG(A10, "SP_TOTAL_DEBT", "LTM")</f>
        <v>#NAME?</v>
      </c>
      <c r="S10" s="8" t="e">
        <f ca="1">_xll.SNL.Clients.Office.Excel.Functions.SPG(A10, "SP_DEBT_TO_EQUITY", "LTM")</f>
        <v>#NAME?</v>
      </c>
      <c r="U10" s="9" t="e">
        <f t="shared" ca="1" si="0"/>
        <v>#NAME?</v>
      </c>
      <c r="Y10" s="1"/>
      <c r="Z10" s="1"/>
      <c r="AA10" s="10"/>
      <c r="AB10" s="1" t="s">
        <v>46</v>
      </c>
      <c r="AC10" s="1" t="s">
        <v>37</v>
      </c>
      <c r="AD10" s="10">
        <v>852.439325204037</v>
      </c>
      <c r="AE10" s="1" t="s">
        <v>42</v>
      </c>
    </row>
    <row r="11" spans="1:31" x14ac:dyDescent="0.2">
      <c r="A11" s="1" t="s">
        <v>47</v>
      </c>
      <c r="B11" s="2">
        <v>6.7560000000000002</v>
      </c>
      <c r="C11" s="3">
        <v>-32.791731706163397</v>
      </c>
      <c r="D11" s="2">
        <v>13.929</v>
      </c>
      <c r="E11" s="2" t="s">
        <v>1408</v>
      </c>
      <c r="F11" s="4">
        <v>6.7270000000000003</v>
      </c>
      <c r="G11" s="4">
        <v>33.808562382004403</v>
      </c>
      <c r="H11" s="2">
        <v>1.3049999999999999</v>
      </c>
      <c r="I11" s="4">
        <v>0.20499999999999999</v>
      </c>
      <c r="J11" s="4" t="s">
        <v>1408</v>
      </c>
      <c r="K11" s="4">
        <v>0.72824599999999995</v>
      </c>
      <c r="L11" s="4">
        <v>4.4465820000000003</v>
      </c>
      <c r="N11" s="5">
        <v>130528.69</v>
      </c>
      <c r="O11" s="5">
        <v>118821.561</v>
      </c>
      <c r="P11" s="6">
        <v>1.0985269752515707</v>
      </c>
      <c r="Q11" s="1"/>
      <c r="R11" s="7" t="e">
        <f ca="1">_xll.SNL.Clients.Office.Excel.Functions.SPG(A11, "SP_TOTAL_DEBT", "LTM")</f>
        <v>#NAME?</v>
      </c>
      <c r="S11" s="8" t="e">
        <f ca="1">_xll.SNL.Clients.Office.Excel.Functions.SPG(A11, "SP_DEBT_TO_EQUITY", "LTM")</f>
        <v>#NAME?</v>
      </c>
      <c r="U11" s="9" t="e">
        <f t="shared" ca="1" si="0"/>
        <v>#NAME?</v>
      </c>
      <c r="Y11" s="1"/>
      <c r="Z11" s="1"/>
      <c r="AA11" s="10"/>
      <c r="AB11" s="1" t="s">
        <v>48</v>
      </c>
      <c r="AC11" s="1" t="s">
        <v>37</v>
      </c>
      <c r="AD11" s="10">
        <v>913.23601059597001</v>
      </c>
      <c r="AE11" s="1" t="s">
        <v>42</v>
      </c>
    </row>
    <row r="12" spans="1:31" x14ac:dyDescent="0.2">
      <c r="A12" s="1" t="s">
        <v>49</v>
      </c>
      <c r="B12" s="2">
        <v>15.473000000000001</v>
      </c>
      <c r="C12" s="3" t="s">
        <v>1408</v>
      </c>
      <c r="D12" s="2">
        <v>-6.5609999999999999</v>
      </c>
      <c r="E12" s="2">
        <v>4.4852619999999996</v>
      </c>
      <c r="F12" s="4">
        <v>13.776999999999999</v>
      </c>
      <c r="G12" s="4" t="s">
        <v>1408</v>
      </c>
      <c r="H12" s="2">
        <v>17.559999999999999</v>
      </c>
      <c r="I12" s="4">
        <v>0.42799999999999999</v>
      </c>
      <c r="J12" s="4" t="s">
        <v>1408</v>
      </c>
      <c r="K12" s="4">
        <v>0.99463599999999996</v>
      </c>
      <c r="L12" s="4">
        <v>0.43455899999999997</v>
      </c>
      <c r="N12" s="5">
        <v>289732.81</v>
      </c>
      <c r="O12" s="5">
        <v>477050.20500000002</v>
      </c>
      <c r="P12" s="6">
        <v>0.60734238653141337</v>
      </c>
      <c r="Q12" s="1"/>
      <c r="R12" s="7" t="e">
        <f ca="1">_xll.SNL.Clients.Office.Excel.Functions.SPG(A12, "SP_TOTAL_DEBT", "LTM")</f>
        <v>#NAME?</v>
      </c>
      <c r="S12" s="8" t="e">
        <f ca="1">_xll.SNL.Clients.Office.Excel.Functions.SPG(A12, "SP_DEBT_TO_EQUITY", "LTM")</f>
        <v>#NAME?</v>
      </c>
      <c r="U12" s="9" t="e">
        <f t="shared" ca="1" si="0"/>
        <v>#NAME?</v>
      </c>
      <c r="Y12" s="1"/>
      <c r="Z12" s="1"/>
      <c r="AA12" s="10"/>
      <c r="AB12" s="1" t="s">
        <v>50</v>
      </c>
      <c r="AC12" s="1" t="s">
        <v>37</v>
      </c>
      <c r="AD12" s="10">
        <v>551.51974120769705</v>
      </c>
      <c r="AE12" s="1" t="s">
        <v>42</v>
      </c>
    </row>
    <row r="13" spans="1:31" x14ac:dyDescent="0.2">
      <c r="A13" s="1" t="s">
        <v>51</v>
      </c>
      <c r="B13" s="2" t="s">
        <v>1408</v>
      </c>
      <c r="C13" s="3" t="s">
        <v>1408</v>
      </c>
      <c r="D13" s="2" t="s">
        <v>1408</v>
      </c>
      <c r="E13" s="2" t="s">
        <v>1408</v>
      </c>
      <c r="F13" s="4" t="s">
        <v>1408</v>
      </c>
      <c r="G13" s="4" t="s">
        <v>1408</v>
      </c>
      <c r="H13" s="2" t="s">
        <v>1408</v>
      </c>
      <c r="I13" s="4" t="s">
        <v>1408</v>
      </c>
      <c r="J13" s="4" t="s">
        <v>1408</v>
      </c>
      <c r="K13" s="4" t="s">
        <v>1408</v>
      </c>
      <c r="L13" s="4" t="s">
        <v>1408</v>
      </c>
      <c r="N13" s="5" t="s">
        <v>1408</v>
      </c>
      <c r="O13" s="5" t="s">
        <v>1408</v>
      </c>
      <c r="P13" s="6" t="e">
        <v>#VALUE!</v>
      </c>
      <c r="Q13" s="1"/>
      <c r="R13" s="7" t="e">
        <f ca="1">_xll.SNL.Clients.Office.Excel.Functions.SPG(A13, "SP_TOTAL_DEBT", "LTM")</f>
        <v>#NAME?</v>
      </c>
      <c r="S13" s="8" t="e">
        <f ca="1">_xll.SNL.Clients.Office.Excel.Functions.SPG(A13, "SP_DEBT_TO_EQUITY", "LTM")</f>
        <v>#NAME?</v>
      </c>
      <c r="U13" s="9" t="e">
        <f t="shared" ca="1" si="0"/>
        <v>#VALUE!</v>
      </c>
      <c r="Y13" s="1"/>
      <c r="Z13" s="1"/>
      <c r="AA13" s="10"/>
      <c r="AB13" s="1" t="s">
        <v>52</v>
      </c>
      <c r="AC13" s="1" t="s">
        <v>37</v>
      </c>
      <c r="AD13" s="10">
        <v>489.823125</v>
      </c>
      <c r="AE13" s="1" t="s">
        <v>42</v>
      </c>
    </row>
    <row r="14" spans="1:31" x14ac:dyDescent="0.2">
      <c r="A14" s="1" t="s">
        <v>53</v>
      </c>
      <c r="B14" s="2">
        <v>5.7430000000000003</v>
      </c>
      <c r="C14" s="3">
        <v>-31.282051282051299</v>
      </c>
      <c r="D14" s="2">
        <v>-11.667</v>
      </c>
      <c r="E14" s="2">
        <v>8.844697</v>
      </c>
      <c r="F14" s="4">
        <v>4.7729999999999997</v>
      </c>
      <c r="G14" s="4">
        <v>20.800179054626</v>
      </c>
      <c r="H14" s="2" t="s">
        <v>1408</v>
      </c>
      <c r="I14" s="4">
        <v>0.22900000000000001</v>
      </c>
      <c r="J14" s="4" t="s">
        <v>1408</v>
      </c>
      <c r="K14" s="4">
        <v>1.4475039999999999</v>
      </c>
      <c r="L14" s="4">
        <v>7.6324949999999996</v>
      </c>
      <c r="N14" s="5" t="s">
        <v>1408</v>
      </c>
      <c r="O14" s="5">
        <v>906100</v>
      </c>
      <c r="P14" s="6" t="e">
        <v>#VALUE!</v>
      </c>
      <c r="Q14" s="1"/>
      <c r="R14" s="7" t="e">
        <f ca="1">_xll.SNL.Clients.Office.Excel.Functions.SPG(A14, "SP_TOTAL_DEBT", "LTM")</f>
        <v>#NAME?</v>
      </c>
      <c r="S14" s="8" t="e">
        <f ca="1">_xll.SNL.Clients.Office.Excel.Functions.SPG(A14, "SP_DEBT_TO_EQUITY", "LTM")</f>
        <v>#NAME?</v>
      </c>
      <c r="U14" s="9" t="e">
        <f t="shared" ca="1" si="0"/>
        <v>#VALUE!</v>
      </c>
      <c r="Y14" s="1"/>
      <c r="Z14" s="1"/>
      <c r="AA14" s="10"/>
      <c r="AB14" s="1" t="s">
        <v>54</v>
      </c>
      <c r="AC14" s="1" t="s">
        <v>37</v>
      </c>
      <c r="AD14" s="10">
        <v>5032.0773822399997</v>
      </c>
      <c r="AE14" s="1" t="s">
        <v>25</v>
      </c>
    </row>
    <row r="15" spans="1:31" x14ac:dyDescent="0.2">
      <c r="A15" s="1" t="s">
        <v>55</v>
      </c>
      <c r="B15" s="2">
        <v>-9.8490000000000002</v>
      </c>
      <c r="C15" s="3" t="s">
        <v>1409</v>
      </c>
      <c r="D15" s="2">
        <v>17.690000000000001</v>
      </c>
      <c r="E15" s="2" t="s">
        <v>1409</v>
      </c>
      <c r="F15" s="4">
        <v>-8.6869999999999994</v>
      </c>
      <c r="G15" s="4">
        <v>-38.7895176244011</v>
      </c>
      <c r="H15" s="2">
        <v>20.946000000000002</v>
      </c>
      <c r="I15" s="4">
        <v>0.221</v>
      </c>
      <c r="J15" s="4" t="s">
        <v>1408</v>
      </c>
      <c r="K15" s="4">
        <v>5.0944279999999997</v>
      </c>
      <c r="L15" s="4" t="s">
        <v>1409</v>
      </c>
      <c r="N15" s="5">
        <v>-229478.375</v>
      </c>
      <c r="O15" s="5">
        <v>-905859</v>
      </c>
      <c r="P15" s="6">
        <v>0.25332681465879348</v>
      </c>
      <c r="Q15" s="1"/>
      <c r="R15" s="7" t="e">
        <f ca="1">_xll.SNL.Clients.Office.Excel.Functions.SPG(A15, "SP_TOTAL_DEBT", "LTM")</f>
        <v>#NAME?</v>
      </c>
      <c r="S15" s="8" t="e">
        <f ca="1">_xll.SNL.Clients.Office.Excel.Functions.SPG(A15, "SP_DEBT_TO_EQUITY", "LTM")</f>
        <v>#NAME?</v>
      </c>
      <c r="U15" s="9" t="e">
        <f t="shared" ca="1" si="0"/>
        <v>#NAME?</v>
      </c>
      <c r="Y15" s="1"/>
      <c r="Z15" s="1"/>
      <c r="AA15" s="10"/>
      <c r="AB15" s="1" t="s">
        <v>56</v>
      </c>
      <c r="AC15" s="1" t="s">
        <v>57</v>
      </c>
      <c r="AD15" s="10">
        <v>12223.227082740001</v>
      </c>
      <c r="AE15" s="1" t="s">
        <v>25</v>
      </c>
    </row>
    <row r="16" spans="1:31" x14ac:dyDescent="0.2">
      <c r="A16" s="1" t="s">
        <v>58</v>
      </c>
      <c r="B16" s="2">
        <v>10.686999999999999</v>
      </c>
      <c r="C16" s="3">
        <v>12.265512265512299</v>
      </c>
      <c r="D16" s="2">
        <v>-4.1070000000000002</v>
      </c>
      <c r="E16" s="2">
        <v>9.886889</v>
      </c>
      <c r="F16" s="4">
        <v>2.552</v>
      </c>
      <c r="G16" s="4">
        <v>22.197738060497102</v>
      </c>
      <c r="H16" s="2" t="s">
        <v>1408</v>
      </c>
      <c r="I16" s="4">
        <v>0.14499999999999999</v>
      </c>
      <c r="J16" s="4" t="s">
        <v>1408</v>
      </c>
      <c r="K16" s="4">
        <v>2.0239440000000002</v>
      </c>
      <c r="L16" s="4">
        <v>8.9607320000000001</v>
      </c>
      <c r="N16" s="5" t="s">
        <v>1408</v>
      </c>
      <c r="O16" s="5">
        <v>4659000</v>
      </c>
      <c r="P16" s="6" t="e">
        <v>#VALUE!</v>
      </c>
      <c r="Q16" s="1"/>
      <c r="R16" s="7" t="e">
        <f ca="1">_xll.SNL.Clients.Office.Excel.Functions.SPG(A16, "SP_TOTAL_DEBT", "LTM")</f>
        <v>#NAME?</v>
      </c>
      <c r="S16" s="8" t="e">
        <f ca="1">_xll.SNL.Clients.Office.Excel.Functions.SPG(A16, "SP_DEBT_TO_EQUITY", "LTM")</f>
        <v>#NAME?</v>
      </c>
      <c r="U16" s="9" t="e">
        <f t="shared" ca="1" si="0"/>
        <v>#VALUE!</v>
      </c>
      <c r="Y16" s="1"/>
      <c r="Z16" s="1"/>
      <c r="AA16" s="10"/>
      <c r="AB16" s="1" t="s">
        <v>59</v>
      </c>
      <c r="AC16" s="1" t="s">
        <v>60</v>
      </c>
      <c r="AD16" s="10">
        <v>49286.599838260001</v>
      </c>
      <c r="AE16" s="1" t="s">
        <v>25</v>
      </c>
    </row>
    <row r="17" spans="1:31" x14ac:dyDescent="0.2">
      <c r="A17" s="1" t="s">
        <v>61</v>
      </c>
      <c r="B17" s="2">
        <v>6.4820000000000002</v>
      </c>
      <c r="C17" s="3" t="s">
        <v>1408</v>
      </c>
      <c r="D17" s="2">
        <v>0.60099999999999998</v>
      </c>
      <c r="E17" s="2">
        <v>5.9384620000000004</v>
      </c>
      <c r="F17" s="4">
        <v>5.3730000000000002</v>
      </c>
      <c r="G17" s="4" t="s">
        <v>1408</v>
      </c>
      <c r="H17" s="2">
        <v>1.387</v>
      </c>
      <c r="I17" s="4">
        <v>0.33800000000000002</v>
      </c>
      <c r="J17" s="4" t="s">
        <v>1408</v>
      </c>
      <c r="K17" s="4">
        <v>0.45607599999999998</v>
      </c>
      <c r="L17" s="4">
        <v>4.0401449999999999</v>
      </c>
      <c r="N17" s="5">
        <v>92652.75</v>
      </c>
      <c r="O17" s="5">
        <v>87700</v>
      </c>
      <c r="P17" s="6">
        <v>1.0564737742303307</v>
      </c>
      <c r="Q17" s="1"/>
      <c r="R17" s="7" t="e">
        <f ca="1">_xll.SNL.Clients.Office.Excel.Functions.SPG(A17, "SP_TOTAL_DEBT", "LTM")</f>
        <v>#NAME?</v>
      </c>
      <c r="S17" s="8" t="e">
        <f ca="1">_xll.SNL.Clients.Office.Excel.Functions.SPG(A17, "SP_DEBT_TO_EQUITY", "LTM")</f>
        <v>#NAME?</v>
      </c>
      <c r="U17" s="9" t="e">
        <f t="shared" ca="1" si="0"/>
        <v>#NAME?</v>
      </c>
      <c r="Y17" s="1"/>
      <c r="Z17" s="1"/>
      <c r="AA17" s="10"/>
      <c r="AB17" s="1" t="s">
        <v>62</v>
      </c>
      <c r="AC17" s="1" t="s">
        <v>37</v>
      </c>
      <c r="AD17" s="10">
        <v>371.81533631315</v>
      </c>
      <c r="AE17" s="1" t="s">
        <v>25</v>
      </c>
    </row>
    <row r="18" spans="1:31" x14ac:dyDescent="0.2">
      <c r="A18" s="1" t="s">
        <v>63</v>
      </c>
      <c r="B18" s="2" t="s">
        <v>1408</v>
      </c>
      <c r="C18" s="3" t="s">
        <v>1409</v>
      </c>
      <c r="D18" s="2" t="s">
        <v>1409</v>
      </c>
      <c r="E18" s="2">
        <v>189.6</v>
      </c>
      <c r="F18" s="4">
        <v>0.251</v>
      </c>
      <c r="G18" s="4">
        <v>1.9882628355193499</v>
      </c>
      <c r="H18" s="2">
        <v>1.0580000000000001</v>
      </c>
      <c r="I18" s="4">
        <v>4.0000000000000001E-3</v>
      </c>
      <c r="J18" s="4" t="s">
        <v>1408</v>
      </c>
      <c r="K18" s="4">
        <v>0.993815</v>
      </c>
      <c r="L18" s="4" t="s">
        <v>1408</v>
      </c>
      <c r="N18" s="5" t="s">
        <v>1408</v>
      </c>
      <c r="O18" s="5">
        <v>155000</v>
      </c>
      <c r="P18" s="6" t="e">
        <v>#VALUE!</v>
      </c>
      <c r="Q18" s="1"/>
      <c r="R18" s="7" t="e">
        <f ca="1">_xll.SNL.Clients.Office.Excel.Functions.SPG(A18, "SP_TOTAL_DEBT", "LTM")</f>
        <v>#NAME?</v>
      </c>
      <c r="S18" s="8" t="e">
        <f ca="1">_xll.SNL.Clients.Office.Excel.Functions.SPG(A18, "SP_DEBT_TO_EQUITY", "LTM")</f>
        <v>#NAME?</v>
      </c>
      <c r="U18" s="9" t="e">
        <f t="shared" ca="1" si="0"/>
        <v>#VALUE!</v>
      </c>
      <c r="Y18" s="1"/>
      <c r="Z18" s="1"/>
      <c r="AA18" s="10"/>
      <c r="AB18" s="1" t="s">
        <v>64</v>
      </c>
      <c r="AC18" s="1" t="s">
        <v>65</v>
      </c>
      <c r="AD18" s="10">
        <v>6581.9639999999999</v>
      </c>
      <c r="AE18" s="1" t="s">
        <v>25</v>
      </c>
    </row>
    <row r="19" spans="1:31" x14ac:dyDescent="0.2">
      <c r="A19" s="1" t="s">
        <v>66</v>
      </c>
      <c r="B19" s="2">
        <v>-0.317</v>
      </c>
      <c r="C19" s="3" t="s">
        <v>1408</v>
      </c>
      <c r="D19" s="2" t="s">
        <v>1408</v>
      </c>
      <c r="E19" s="2" t="s">
        <v>1408</v>
      </c>
      <c r="F19" s="4" t="s">
        <v>1408</v>
      </c>
      <c r="G19" s="4" t="s">
        <v>1408</v>
      </c>
      <c r="H19" s="2" t="s">
        <v>1408</v>
      </c>
      <c r="I19" s="4" t="s">
        <v>1408</v>
      </c>
      <c r="J19" s="4" t="s">
        <v>1408</v>
      </c>
      <c r="K19" s="4" t="s">
        <v>1409</v>
      </c>
      <c r="L19" s="4" t="s">
        <v>1408</v>
      </c>
      <c r="N19" s="5" t="s">
        <v>1408</v>
      </c>
      <c r="O19" s="5">
        <v>-1.3240000000000001</v>
      </c>
      <c r="P19" s="6" t="e">
        <v>#VALUE!</v>
      </c>
      <c r="Q19" s="1"/>
      <c r="R19" s="7" t="e">
        <f ca="1">_xll.SNL.Clients.Office.Excel.Functions.SPG(A19, "SP_TOTAL_DEBT", "LTM")</f>
        <v>#NAME?</v>
      </c>
      <c r="S19" s="8" t="e">
        <f ca="1">_xll.SNL.Clients.Office.Excel.Functions.SPG(A19, "SP_DEBT_TO_EQUITY", "LTM")</f>
        <v>#NAME?</v>
      </c>
      <c r="U19" s="9" t="e">
        <f t="shared" ca="1" si="0"/>
        <v>#VALUE!</v>
      </c>
      <c r="Y19" s="1"/>
      <c r="Z19" s="1"/>
      <c r="AA19" s="10"/>
      <c r="AB19" s="1" t="s">
        <v>67</v>
      </c>
      <c r="AC19" s="1" t="s">
        <v>37</v>
      </c>
      <c r="AD19" s="10">
        <v>437.28750000000002</v>
      </c>
      <c r="AE19" s="1" t="s">
        <v>25</v>
      </c>
    </row>
    <row r="20" spans="1:31" x14ac:dyDescent="0.2">
      <c r="A20" s="1" t="s">
        <v>68</v>
      </c>
      <c r="B20" s="2">
        <v>8.5020000000000007</v>
      </c>
      <c r="C20" s="3" t="s">
        <v>1408</v>
      </c>
      <c r="D20" s="2">
        <v>-6.0609999999999999</v>
      </c>
      <c r="E20" s="2">
        <v>5.8794329999999997</v>
      </c>
      <c r="F20" s="4">
        <v>8.0589999999999993</v>
      </c>
      <c r="G20" s="4" t="s">
        <v>1408</v>
      </c>
      <c r="H20" s="2">
        <v>0.36899999999999999</v>
      </c>
      <c r="I20" s="4">
        <v>0.157</v>
      </c>
      <c r="J20" s="4" t="s">
        <v>1408</v>
      </c>
      <c r="K20" s="4">
        <v>0.79322599999999999</v>
      </c>
      <c r="L20" s="4">
        <v>6.1958539999999998</v>
      </c>
      <c r="N20" s="5">
        <v>131678.625</v>
      </c>
      <c r="O20" s="5">
        <v>132214</v>
      </c>
      <c r="P20" s="6">
        <v>0.99595069357254151</v>
      </c>
      <c r="Q20" s="1"/>
      <c r="R20" s="7" t="e">
        <f ca="1">_xll.SNL.Clients.Office.Excel.Functions.SPG(A20, "SP_TOTAL_DEBT", "LTM")</f>
        <v>#NAME?</v>
      </c>
      <c r="S20" s="8" t="e">
        <f ca="1">_xll.SNL.Clients.Office.Excel.Functions.SPG(A20, "SP_DEBT_TO_EQUITY", "LTM")</f>
        <v>#NAME?</v>
      </c>
      <c r="U20" s="9" t="e">
        <f t="shared" ca="1" si="0"/>
        <v>#NAME?</v>
      </c>
      <c r="Y20" s="1"/>
      <c r="Z20" s="1"/>
      <c r="AA20" s="10"/>
      <c r="AB20" s="1" t="s">
        <v>69</v>
      </c>
      <c r="AC20" s="1" t="s">
        <v>37</v>
      </c>
      <c r="AD20" s="10">
        <v>566.563665219114</v>
      </c>
      <c r="AE20" s="1" t="s">
        <v>25</v>
      </c>
    </row>
    <row r="21" spans="1:31" x14ac:dyDescent="0.2">
      <c r="A21" s="1" t="s">
        <v>70</v>
      </c>
      <c r="B21" s="2" t="s">
        <v>1408</v>
      </c>
      <c r="C21" s="3">
        <v>-72.380952380952394</v>
      </c>
      <c r="D21" s="2">
        <v>-21.303999999999998</v>
      </c>
      <c r="E21" s="2">
        <v>38.327585999999997</v>
      </c>
      <c r="F21" s="4">
        <v>0.30499999999999999</v>
      </c>
      <c r="G21" s="4">
        <v>3.2646043314064599</v>
      </c>
      <c r="H21" s="2" t="s">
        <v>1408</v>
      </c>
      <c r="I21" s="4" t="s">
        <v>1408</v>
      </c>
      <c r="J21" s="4">
        <v>19.9613224541698</v>
      </c>
      <c r="K21" s="4">
        <v>1.1884520000000001</v>
      </c>
      <c r="L21" s="4" t="s">
        <v>1408</v>
      </c>
      <c r="N21" s="5" t="s">
        <v>1408</v>
      </c>
      <c r="O21" s="5">
        <v>11696</v>
      </c>
      <c r="P21" s="6" t="e">
        <v>#VALUE!</v>
      </c>
      <c r="Q21" s="1"/>
      <c r="R21" s="7" t="e">
        <f ca="1">_xll.SNL.Clients.Office.Excel.Functions.SPG(A21, "SP_TOTAL_DEBT", "LTM")</f>
        <v>#NAME?</v>
      </c>
      <c r="S21" s="8" t="e">
        <f ca="1">_xll.SNL.Clients.Office.Excel.Functions.SPG(A21, "SP_DEBT_TO_EQUITY", "LTM")</f>
        <v>#NAME?</v>
      </c>
      <c r="U21" s="9" t="e">
        <f t="shared" ca="1" si="0"/>
        <v>#VALUE!</v>
      </c>
      <c r="Y21" s="1"/>
      <c r="Z21" s="1"/>
      <c r="AA21" s="10"/>
      <c r="AB21" s="1" t="s">
        <v>71</v>
      </c>
      <c r="AC21" s="1" t="s">
        <v>34</v>
      </c>
      <c r="AD21" s="10">
        <v>448.16088867000002</v>
      </c>
      <c r="AE21" s="1" t="s">
        <v>25</v>
      </c>
    </row>
    <row r="22" spans="1:31" x14ac:dyDescent="0.2">
      <c r="A22" s="1" t="s">
        <v>72</v>
      </c>
      <c r="B22" s="2">
        <v>-18.367000000000001</v>
      </c>
      <c r="C22" s="3" t="s">
        <v>1409</v>
      </c>
      <c r="D22" s="2">
        <v>22.811</v>
      </c>
      <c r="E22" s="2" t="s">
        <v>1409</v>
      </c>
      <c r="F22" s="4">
        <v>-11.141999999999999</v>
      </c>
      <c r="G22" s="4">
        <v>-52.884778074794298</v>
      </c>
      <c r="H22" s="2">
        <v>1.6259999999999999</v>
      </c>
      <c r="I22" s="4">
        <v>2.222</v>
      </c>
      <c r="J22" s="4" t="s">
        <v>1408</v>
      </c>
      <c r="K22" s="4">
        <v>6.3226449999999996</v>
      </c>
      <c r="L22" s="4" t="s">
        <v>1409</v>
      </c>
      <c r="N22" s="5">
        <v>-104089.25</v>
      </c>
      <c r="O22" s="5">
        <v>-157937</v>
      </c>
      <c r="P22" s="6">
        <v>0.65905550947529712</v>
      </c>
      <c r="Q22" s="1"/>
      <c r="R22" s="7" t="e">
        <f ca="1">_xll.SNL.Clients.Office.Excel.Functions.SPG(A22, "SP_TOTAL_DEBT", "LTM")</f>
        <v>#NAME?</v>
      </c>
      <c r="S22" s="8" t="e">
        <f ca="1">_xll.SNL.Clients.Office.Excel.Functions.SPG(A22, "SP_DEBT_TO_EQUITY", "LTM")</f>
        <v>#NAME?</v>
      </c>
      <c r="U22" s="9" t="e">
        <f t="shared" ca="1" si="0"/>
        <v>#NAME?</v>
      </c>
      <c r="Y22" s="1"/>
      <c r="Z22" s="1"/>
      <c r="AA22" s="10"/>
      <c r="AB22" s="1" t="s">
        <v>73</v>
      </c>
      <c r="AC22" s="1" t="s">
        <v>74</v>
      </c>
      <c r="AD22" s="10">
        <v>1266.9685729</v>
      </c>
      <c r="AE22" s="1" t="s">
        <v>25</v>
      </c>
    </row>
    <row r="23" spans="1:31" x14ac:dyDescent="0.2">
      <c r="A23" s="1" t="s">
        <v>75</v>
      </c>
      <c r="B23" s="2">
        <v>-10.872</v>
      </c>
      <c r="C23" s="3" t="s">
        <v>1408</v>
      </c>
      <c r="D23" s="2">
        <v>34.247999999999998</v>
      </c>
      <c r="E23" s="2" t="s">
        <v>1409</v>
      </c>
      <c r="F23" s="4">
        <v>-8.8569999999999993</v>
      </c>
      <c r="G23" s="4" t="s">
        <v>1408</v>
      </c>
      <c r="H23" s="2">
        <v>4.7309999999999999</v>
      </c>
      <c r="I23" s="4">
        <v>0.51500000000000001</v>
      </c>
      <c r="J23" s="4" t="s">
        <v>1408</v>
      </c>
      <c r="K23" s="4">
        <v>7.3050699999999997</v>
      </c>
      <c r="L23" s="4" t="s">
        <v>1409</v>
      </c>
      <c r="N23" s="5">
        <v>7611.25</v>
      </c>
      <c r="O23" s="5">
        <v>-55112</v>
      </c>
      <c r="P23" s="6">
        <v>-0.13810513136884889</v>
      </c>
      <c r="Q23" s="1"/>
      <c r="R23" s="7" t="e">
        <f ca="1">_xll.SNL.Clients.Office.Excel.Functions.SPG(A23, "SP_TOTAL_DEBT", "LTM")</f>
        <v>#NAME?</v>
      </c>
      <c r="S23" s="8" t="e">
        <f ca="1">_xll.SNL.Clients.Office.Excel.Functions.SPG(A23, "SP_DEBT_TO_EQUITY", "LTM")</f>
        <v>#NAME?</v>
      </c>
      <c r="U23" s="9" t="e">
        <f t="shared" ca="1" si="0"/>
        <v>#NAME?</v>
      </c>
      <c r="Y23" s="1"/>
      <c r="Z23" s="1"/>
      <c r="AA23" s="10"/>
      <c r="AB23" s="1" t="s">
        <v>76</v>
      </c>
      <c r="AC23" s="1" t="s">
        <v>77</v>
      </c>
      <c r="AD23" s="10">
        <v>2347.8071959399999</v>
      </c>
      <c r="AE23" s="1" t="s">
        <v>25</v>
      </c>
    </row>
    <row r="24" spans="1:31" x14ac:dyDescent="0.2">
      <c r="A24" s="1" t="s">
        <v>78</v>
      </c>
      <c r="B24" s="2" t="s">
        <v>1408</v>
      </c>
      <c r="C24" s="3">
        <v>-13.0111524163569</v>
      </c>
      <c r="D24" s="2" t="s">
        <v>1408</v>
      </c>
      <c r="E24" s="2">
        <v>14.869134000000001</v>
      </c>
      <c r="F24" s="4" t="s">
        <v>1408</v>
      </c>
      <c r="G24" s="4" t="s">
        <v>1408</v>
      </c>
      <c r="H24" s="2" t="s">
        <v>1408</v>
      </c>
      <c r="I24" s="4" t="s">
        <v>1408</v>
      </c>
      <c r="J24" s="4" t="s">
        <v>1408</v>
      </c>
      <c r="K24" s="4">
        <v>1.8674900000000001</v>
      </c>
      <c r="L24" s="4" t="s">
        <v>1408</v>
      </c>
      <c r="N24" s="5" t="s">
        <v>1408</v>
      </c>
      <c r="O24" s="5">
        <v>264184</v>
      </c>
      <c r="P24" s="6" t="e">
        <v>#VALUE!</v>
      </c>
      <c r="Q24" s="1"/>
      <c r="R24" s="7" t="e">
        <f ca="1">_xll.SNL.Clients.Office.Excel.Functions.SPG(A24, "SP_TOTAL_DEBT", "LTM")</f>
        <v>#NAME?</v>
      </c>
      <c r="S24" s="8" t="e">
        <f ca="1">_xll.SNL.Clients.Office.Excel.Functions.SPG(A24, "SP_DEBT_TO_EQUITY", "LTM")</f>
        <v>#NAME?</v>
      </c>
      <c r="U24" s="9" t="e">
        <f t="shared" ca="1" si="0"/>
        <v>#VALUE!</v>
      </c>
      <c r="Y24" s="1"/>
      <c r="Z24" s="1"/>
      <c r="AA24" s="10"/>
      <c r="AB24" s="1" t="s">
        <v>79</v>
      </c>
      <c r="AC24" s="1" t="s">
        <v>37</v>
      </c>
      <c r="AD24" s="10">
        <v>3750.7850891500002</v>
      </c>
      <c r="AE24" s="1" t="s">
        <v>25</v>
      </c>
    </row>
    <row r="25" spans="1:31" x14ac:dyDescent="0.2">
      <c r="A25" s="1" t="s">
        <v>80</v>
      </c>
      <c r="B25" s="2" t="s">
        <v>1408</v>
      </c>
      <c r="C25" s="3" t="s">
        <v>1408</v>
      </c>
      <c r="D25" s="2">
        <v>-10.538</v>
      </c>
      <c r="E25" s="2">
        <v>12.036913</v>
      </c>
      <c r="F25" s="4">
        <v>0.52600000000000002</v>
      </c>
      <c r="G25" s="4">
        <v>7.5199056325567701</v>
      </c>
      <c r="H25" s="2" t="s">
        <v>1408</v>
      </c>
      <c r="I25" s="4" t="s">
        <v>1408</v>
      </c>
      <c r="J25" s="4">
        <v>10.515117581187001</v>
      </c>
      <c r="K25" s="4">
        <v>0.94818899999999995</v>
      </c>
      <c r="L25" s="4" t="s">
        <v>1408</v>
      </c>
      <c r="N25" s="5" t="s">
        <v>1408</v>
      </c>
      <c r="O25" s="5">
        <v>1020000</v>
      </c>
      <c r="P25" s="6" t="e">
        <v>#VALUE!</v>
      </c>
      <c r="Q25" s="1"/>
      <c r="R25" s="7" t="e">
        <f ca="1">_xll.SNL.Clients.Office.Excel.Functions.SPG(A25, "SP_TOTAL_DEBT", "LTM")</f>
        <v>#NAME?</v>
      </c>
      <c r="S25" s="8" t="e">
        <f ca="1">_xll.SNL.Clients.Office.Excel.Functions.SPG(A25, "SP_DEBT_TO_EQUITY", "LTM")</f>
        <v>#NAME?</v>
      </c>
      <c r="U25" s="9" t="e">
        <f t="shared" ca="1" si="0"/>
        <v>#VALUE!</v>
      </c>
      <c r="Y25" s="1"/>
      <c r="Z25" s="1"/>
      <c r="AA25" s="10"/>
      <c r="AB25" s="1" t="s">
        <v>81</v>
      </c>
      <c r="AC25" s="1" t="s">
        <v>82</v>
      </c>
      <c r="AD25" s="10">
        <v>11094.196120000001</v>
      </c>
      <c r="AE25" s="1" t="s">
        <v>25</v>
      </c>
    </row>
    <row r="26" spans="1:31" x14ac:dyDescent="0.2">
      <c r="A26" s="1" t="s">
        <v>83</v>
      </c>
      <c r="B26" s="2" t="s">
        <v>1408</v>
      </c>
      <c r="C26" s="3">
        <v>-26.353544186393702</v>
      </c>
      <c r="D26" s="2">
        <v>12.052</v>
      </c>
      <c r="E26" s="2">
        <v>6.6509879999999999</v>
      </c>
      <c r="F26" s="4" t="s">
        <v>1408</v>
      </c>
      <c r="G26" s="4">
        <v>13.0781640551183</v>
      </c>
      <c r="H26" s="2" t="s">
        <v>1408</v>
      </c>
      <c r="I26" s="4" t="s">
        <v>1408</v>
      </c>
      <c r="J26" s="4" t="s">
        <v>1408</v>
      </c>
      <c r="K26" s="4" t="s">
        <v>1408</v>
      </c>
      <c r="L26" s="4" t="s">
        <v>1408</v>
      </c>
      <c r="N26" s="5" t="s">
        <v>1408</v>
      </c>
      <c r="O26" s="5">
        <v>57182</v>
      </c>
      <c r="P26" s="6" t="e">
        <v>#VALUE!</v>
      </c>
      <c r="Q26" s="1"/>
      <c r="R26" s="7" t="e">
        <f ca="1">_xll.SNL.Clients.Office.Excel.Functions.SPG(A26, "SP_TOTAL_DEBT", "LTM")</f>
        <v>#NAME?</v>
      </c>
      <c r="S26" s="8" t="e">
        <f ca="1">_xll.SNL.Clients.Office.Excel.Functions.SPG(A26, "SP_DEBT_TO_EQUITY", "LTM")</f>
        <v>#NAME?</v>
      </c>
      <c r="U26" s="9" t="e">
        <f t="shared" ca="1" si="0"/>
        <v>#VALUE!</v>
      </c>
      <c r="Y26" s="1"/>
      <c r="Z26" s="1"/>
      <c r="AA26" s="10"/>
      <c r="AB26" s="1" t="s">
        <v>84</v>
      </c>
      <c r="AC26" s="1" t="s">
        <v>34</v>
      </c>
      <c r="AD26" s="10">
        <v>461.3703405</v>
      </c>
      <c r="AE26" s="1" t="s">
        <v>25</v>
      </c>
    </row>
    <row r="27" spans="1:31" x14ac:dyDescent="0.2">
      <c r="A27" s="1" t="s">
        <v>85</v>
      </c>
      <c r="B27" s="2">
        <v>8.3810000000000002</v>
      </c>
      <c r="C27" s="3" t="s">
        <v>1408</v>
      </c>
      <c r="D27" s="2" t="s">
        <v>1408</v>
      </c>
      <c r="E27" s="2">
        <v>56.402115999999999</v>
      </c>
      <c r="F27" s="4">
        <v>-0.55400000000000005</v>
      </c>
      <c r="G27" s="4" t="s">
        <v>1408</v>
      </c>
      <c r="H27" s="2">
        <v>0.752</v>
      </c>
      <c r="I27" s="4" t="s">
        <v>1408</v>
      </c>
      <c r="J27" s="4" t="s">
        <v>1408</v>
      </c>
      <c r="K27" s="4" t="s">
        <v>1409</v>
      </c>
      <c r="L27" s="4" t="s">
        <v>1408</v>
      </c>
      <c r="N27" s="5">
        <v>-800.96799999999996</v>
      </c>
      <c r="O27" s="5">
        <v>12077.347</v>
      </c>
      <c r="P27" s="6">
        <v>-6.6319863128880871E-2</v>
      </c>
      <c r="Q27" s="1"/>
      <c r="R27" s="7" t="e">
        <f ca="1">_xll.SNL.Clients.Office.Excel.Functions.SPG(A27, "SP_TOTAL_DEBT", "LTM")</f>
        <v>#NAME?</v>
      </c>
      <c r="S27" s="8" t="e">
        <f ca="1">_xll.SNL.Clients.Office.Excel.Functions.SPG(A27, "SP_DEBT_TO_EQUITY", "LTM")</f>
        <v>#NAME?</v>
      </c>
      <c r="U27" s="9" t="e">
        <f t="shared" ca="1" si="0"/>
        <v>#NAME?</v>
      </c>
      <c r="Y27" s="1"/>
      <c r="Z27" s="1"/>
      <c r="AA27" s="10"/>
      <c r="AB27" s="1" t="s">
        <v>86</v>
      </c>
      <c r="AC27" s="1" t="s">
        <v>37</v>
      </c>
      <c r="AD27" s="10">
        <v>479.27779351999999</v>
      </c>
      <c r="AE27" s="1" t="s">
        <v>25</v>
      </c>
    </row>
    <row r="28" spans="1:31" x14ac:dyDescent="0.2">
      <c r="A28" s="1" t="s">
        <v>87</v>
      </c>
      <c r="B28" s="2">
        <v>18.135000000000002</v>
      </c>
      <c r="C28" s="3" t="s">
        <v>1408</v>
      </c>
      <c r="D28" s="2" t="s">
        <v>1408</v>
      </c>
      <c r="E28" s="2" t="s">
        <v>1409</v>
      </c>
      <c r="F28" s="4" t="s">
        <v>1408</v>
      </c>
      <c r="G28" s="4" t="s">
        <v>1408</v>
      </c>
      <c r="H28" s="2">
        <v>1.601</v>
      </c>
      <c r="I28" s="4" t="s">
        <v>1408</v>
      </c>
      <c r="J28" s="4" t="s">
        <v>1408</v>
      </c>
      <c r="K28" s="4">
        <v>0.90878300000000001</v>
      </c>
      <c r="L28" s="4" t="s">
        <v>1409</v>
      </c>
      <c r="N28" s="5" t="s">
        <v>1408</v>
      </c>
      <c r="O28" s="5">
        <v>-224240.986</v>
      </c>
      <c r="P28" s="6" t="e">
        <v>#VALUE!</v>
      </c>
      <c r="Q28" s="1"/>
      <c r="R28" s="7" t="e">
        <f ca="1">_xll.SNL.Clients.Office.Excel.Functions.SPG(A28, "SP_TOTAL_DEBT", "LTM")</f>
        <v>#NAME?</v>
      </c>
      <c r="S28" s="8" t="e">
        <f ca="1">_xll.SNL.Clients.Office.Excel.Functions.SPG(A28, "SP_DEBT_TO_EQUITY", "LTM")</f>
        <v>#NAME?</v>
      </c>
      <c r="U28" s="9" t="e">
        <f t="shared" ca="1" si="0"/>
        <v>#VALUE!</v>
      </c>
      <c r="Y28" s="1"/>
      <c r="Z28" s="1"/>
      <c r="AA28" s="10"/>
      <c r="AB28" s="1" t="s">
        <v>88</v>
      </c>
      <c r="AC28" s="1" t="s">
        <v>37</v>
      </c>
      <c r="AD28" s="10">
        <v>402.22733868</v>
      </c>
      <c r="AE28" s="1" t="s">
        <v>25</v>
      </c>
    </row>
    <row r="29" spans="1:31" x14ac:dyDescent="0.2">
      <c r="A29" s="1" t="s">
        <v>89</v>
      </c>
      <c r="B29" s="2" t="s">
        <v>1408</v>
      </c>
      <c r="C29" s="3">
        <v>9.5785440613026793</v>
      </c>
      <c r="D29" s="2">
        <v>10.952</v>
      </c>
      <c r="E29" s="2">
        <v>8.6293710000000008</v>
      </c>
      <c r="F29" s="4">
        <v>1.113</v>
      </c>
      <c r="G29" s="4">
        <v>16.565803397592099</v>
      </c>
      <c r="H29" s="2" t="s">
        <v>1408</v>
      </c>
      <c r="I29" s="4" t="s">
        <v>1408</v>
      </c>
      <c r="J29" s="4" t="s">
        <v>1408</v>
      </c>
      <c r="K29" s="4">
        <v>1.2832110000000001</v>
      </c>
      <c r="L29" s="4" t="s">
        <v>1408</v>
      </c>
      <c r="N29" s="5" t="s">
        <v>1408</v>
      </c>
      <c r="O29" s="5">
        <v>87978</v>
      </c>
      <c r="P29" s="6" t="e">
        <v>#VALUE!</v>
      </c>
      <c r="Q29" s="1"/>
      <c r="R29" s="7" t="e">
        <f ca="1">_xll.SNL.Clients.Office.Excel.Functions.SPG(A29, "SP_TOTAL_DEBT", "LTM")</f>
        <v>#NAME?</v>
      </c>
      <c r="S29" s="8" t="e">
        <f ca="1">_xll.SNL.Clients.Office.Excel.Functions.SPG(A29, "SP_DEBT_TO_EQUITY", "LTM")</f>
        <v>#NAME?</v>
      </c>
      <c r="U29" s="9" t="e">
        <f t="shared" ca="1" si="0"/>
        <v>#VALUE!</v>
      </c>
      <c r="Y29" s="1"/>
      <c r="Z29" s="1"/>
      <c r="AA29" s="10"/>
      <c r="AB29" s="1" t="s">
        <v>90</v>
      </c>
      <c r="AC29" s="1" t="s">
        <v>34</v>
      </c>
      <c r="AD29" s="10">
        <v>808.17721503999996</v>
      </c>
      <c r="AE29" s="1" t="s">
        <v>25</v>
      </c>
    </row>
    <row r="30" spans="1:31" x14ac:dyDescent="0.2">
      <c r="A30" s="1" t="s">
        <v>91</v>
      </c>
      <c r="B30" s="2">
        <v>10.118</v>
      </c>
      <c r="C30" s="3" t="s">
        <v>1408</v>
      </c>
      <c r="D30" s="2">
        <v>13.816000000000001</v>
      </c>
      <c r="E30" s="2">
        <v>6.009754</v>
      </c>
      <c r="F30" s="4">
        <v>5.74</v>
      </c>
      <c r="G30" s="4" t="s">
        <v>1408</v>
      </c>
      <c r="H30" s="2">
        <v>1.8620000000000001</v>
      </c>
      <c r="I30" s="4">
        <v>6.2380000000000004</v>
      </c>
      <c r="J30" s="4" t="s">
        <v>1408</v>
      </c>
      <c r="K30" s="4">
        <v>1.0635540000000001</v>
      </c>
      <c r="L30" s="4">
        <v>8.5257500000000004</v>
      </c>
      <c r="N30" s="5">
        <v>-95008.875</v>
      </c>
      <c r="O30" s="5">
        <v>110879</v>
      </c>
      <c r="P30" s="6">
        <v>-0.85686987617132193</v>
      </c>
      <c r="Q30" s="1"/>
      <c r="R30" s="7" t="e">
        <f ca="1">_xll.SNL.Clients.Office.Excel.Functions.SPG(A30, "SP_TOTAL_DEBT", "LTM")</f>
        <v>#NAME?</v>
      </c>
      <c r="S30" s="8" t="e">
        <f ca="1">_xll.SNL.Clients.Office.Excel.Functions.SPG(A30, "SP_DEBT_TO_EQUITY", "LTM")</f>
        <v>#NAME?</v>
      </c>
      <c r="U30" s="9" t="e">
        <f t="shared" ca="1" si="0"/>
        <v>#NAME?</v>
      </c>
      <c r="Y30" s="1"/>
      <c r="Z30" s="1"/>
      <c r="AA30" s="10"/>
      <c r="AB30" s="1" t="s">
        <v>92</v>
      </c>
      <c r="AC30" s="1" t="s">
        <v>28</v>
      </c>
      <c r="AD30" s="10">
        <v>626.00023848000001</v>
      </c>
      <c r="AE30" s="1" t="s">
        <v>25</v>
      </c>
    </row>
    <row r="31" spans="1:31" x14ac:dyDescent="0.2">
      <c r="A31" s="1" t="s">
        <v>93</v>
      </c>
      <c r="B31" s="2">
        <v>3.8359999999999999</v>
      </c>
      <c r="C31" s="3" t="s">
        <v>1409</v>
      </c>
      <c r="D31" s="2">
        <v>19.600000000000001</v>
      </c>
      <c r="E31" s="2">
        <v>3.7319439999999999</v>
      </c>
      <c r="F31" s="4">
        <v>1.369</v>
      </c>
      <c r="G31" s="4">
        <v>51.020158827122799</v>
      </c>
      <c r="H31" s="2">
        <v>0.498</v>
      </c>
      <c r="I31" s="4">
        <v>3.7999999999999999E-2</v>
      </c>
      <c r="J31" s="4" t="s">
        <v>1408</v>
      </c>
      <c r="K31" s="4">
        <v>0.56342099999999995</v>
      </c>
      <c r="L31" s="4">
        <v>21.913824999999999</v>
      </c>
      <c r="N31" s="5">
        <v>1693125</v>
      </c>
      <c r="O31" s="5">
        <v>194000</v>
      </c>
      <c r="P31" s="6">
        <v>8.7274484536082468</v>
      </c>
      <c r="Q31" s="1"/>
      <c r="R31" s="7" t="e">
        <f ca="1">_xll.SNL.Clients.Office.Excel.Functions.SPG(A31, "SP_TOTAL_DEBT", "LTM")</f>
        <v>#NAME?</v>
      </c>
      <c r="S31" s="8" t="e">
        <f ca="1">_xll.SNL.Clients.Office.Excel.Functions.SPG(A31, "SP_DEBT_TO_EQUITY", "LTM")</f>
        <v>#NAME?</v>
      </c>
      <c r="U31" s="9" t="e">
        <f t="shared" ca="1" si="0"/>
        <v>#NAME?</v>
      </c>
      <c r="Y31" s="1"/>
      <c r="Z31" s="1"/>
      <c r="AA31" s="10"/>
      <c r="AB31" s="1" t="s">
        <v>94</v>
      </c>
      <c r="AC31" s="1" t="s">
        <v>95</v>
      </c>
      <c r="AD31" s="10">
        <v>734.41122625000003</v>
      </c>
      <c r="AE31" s="1" t="s">
        <v>25</v>
      </c>
    </row>
    <row r="32" spans="1:31" x14ac:dyDescent="0.2">
      <c r="A32" s="1" t="s">
        <v>96</v>
      </c>
      <c r="B32" s="2" t="s">
        <v>1408</v>
      </c>
      <c r="C32" s="3">
        <v>-48.108108108108098</v>
      </c>
      <c r="D32" s="2">
        <v>1.61</v>
      </c>
      <c r="E32" s="2">
        <v>22.75</v>
      </c>
      <c r="F32" s="4">
        <v>0.34499999999999997</v>
      </c>
      <c r="G32" s="4">
        <v>4.1571364919055398</v>
      </c>
      <c r="H32" s="2" t="s">
        <v>1408</v>
      </c>
      <c r="I32" s="4" t="s">
        <v>1408</v>
      </c>
      <c r="J32" s="4">
        <v>15.990154112611201</v>
      </c>
      <c r="K32" s="4">
        <v>0.99214100000000005</v>
      </c>
      <c r="L32" s="4" t="s">
        <v>1408</v>
      </c>
      <c r="N32" s="5" t="s">
        <v>1408</v>
      </c>
      <c r="O32" s="5">
        <v>30789</v>
      </c>
      <c r="P32" s="6" t="e">
        <v>#VALUE!</v>
      </c>
      <c r="Q32" s="1"/>
      <c r="R32" s="7" t="e">
        <f ca="1">_xll.SNL.Clients.Office.Excel.Functions.SPG(A32, "SP_TOTAL_DEBT", "LTM")</f>
        <v>#NAME?</v>
      </c>
      <c r="S32" s="8" t="e">
        <f ca="1">_xll.SNL.Clients.Office.Excel.Functions.SPG(A32, "SP_DEBT_TO_EQUITY", "LTM")</f>
        <v>#NAME?</v>
      </c>
      <c r="U32" s="9" t="e">
        <f t="shared" ca="1" si="0"/>
        <v>#VALUE!</v>
      </c>
      <c r="Y32" s="1"/>
      <c r="Z32" s="1"/>
      <c r="AA32" s="10"/>
      <c r="AB32" s="1" t="s">
        <v>97</v>
      </c>
      <c r="AC32" s="1" t="s">
        <v>34</v>
      </c>
      <c r="AD32" s="10">
        <v>756.02266635000001</v>
      </c>
      <c r="AE32" s="1" t="s">
        <v>25</v>
      </c>
    </row>
    <row r="33" spans="1:31" x14ac:dyDescent="0.2">
      <c r="A33" s="1" t="s">
        <v>98</v>
      </c>
      <c r="B33" s="2" t="s">
        <v>1408</v>
      </c>
      <c r="C33" s="3">
        <v>-9.8484848484848602</v>
      </c>
      <c r="D33" s="2">
        <v>7.9000000000000001E-2</v>
      </c>
      <c r="E33" s="2">
        <v>7.7731089999999998</v>
      </c>
      <c r="F33" s="4">
        <v>1.1359999999999999</v>
      </c>
      <c r="G33" s="4">
        <v>15.614866904622399</v>
      </c>
      <c r="H33" s="2" t="s">
        <v>1408</v>
      </c>
      <c r="I33" s="4" t="s">
        <v>1408</v>
      </c>
      <c r="J33" s="4">
        <v>46.8653523776293</v>
      </c>
      <c r="K33" s="4">
        <v>1.065269</v>
      </c>
      <c r="L33" s="4" t="s">
        <v>1408</v>
      </c>
      <c r="N33" s="5" t="s">
        <v>1408</v>
      </c>
      <c r="O33" s="5">
        <v>43966</v>
      </c>
      <c r="P33" s="6" t="e">
        <v>#VALUE!</v>
      </c>
      <c r="Q33" s="1"/>
      <c r="R33" s="7" t="e">
        <f ca="1">_xll.SNL.Clients.Office.Excel.Functions.SPG(A33, "SP_TOTAL_DEBT", "LTM")</f>
        <v>#NAME?</v>
      </c>
      <c r="S33" s="8" t="e">
        <f ca="1">_xll.SNL.Clients.Office.Excel.Functions.SPG(A33, "SP_DEBT_TO_EQUITY", "LTM")</f>
        <v>#NAME?</v>
      </c>
      <c r="U33" s="9" t="e">
        <f t="shared" ca="1" si="0"/>
        <v>#VALUE!</v>
      </c>
      <c r="Y33" s="1"/>
      <c r="Z33" s="1"/>
      <c r="AA33" s="10"/>
      <c r="AB33" s="1" t="s">
        <v>99</v>
      </c>
      <c r="AC33" s="1" t="s">
        <v>34</v>
      </c>
      <c r="AD33" s="10">
        <v>345.40407020999999</v>
      </c>
      <c r="AE33" s="1" t="s">
        <v>25</v>
      </c>
    </row>
    <row r="34" spans="1:31" x14ac:dyDescent="0.2">
      <c r="A34" s="1" t="s">
        <v>100</v>
      </c>
      <c r="B34" s="2">
        <v>-116.651</v>
      </c>
      <c r="C34" s="3" t="s">
        <v>1409</v>
      </c>
      <c r="D34" s="2">
        <v>-28.227</v>
      </c>
      <c r="E34" s="2" t="s">
        <v>1409</v>
      </c>
      <c r="F34" s="4">
        <v>-10.743</v>
      </c>
      <c r="G34" s="4">
        <v>-313.705936146211</v>
      </c>
      <c r="H34" s="2">
        <v>0.995</v>
      </c>
      <c r="I34" s="4">
        <v>0.23899999999999999</v>
      </c>
      <c r="J34" s="4" t="s">
        <v>1408</v>
      </c>
      <c r="K34" s="4">
        <v>4.0099720000000003</v>
      </c>
      <c r="L34" s="4" t="s">
        <v>1409</v>
      </c>
      <c r="N34" s="5">
        <v>-652733.375</v>
      </c>
      <c r="O34" s="5">
        <v>713</v>
      </c>
      <c r="P34" s="6">
        <v>-915.47457924263676</v>
      </c>
      <c r="Q34" s="1"/>
      <c r="R34" s="7" t="e">
        <f ca="1">_xll.SNL.Clients.Office.Excel.Functions.SPG(A34, "SP_TOTAL_DEBT", "LTM")</f>
        <v>#NAME?</v>
      </c>
      <c r="S34" s="8" t="e">
        <f ca="1">_xll.SNL.Clients.Office.Excel.Functions.SPG(A34, "SP_DEBT_TO_EQUITY", "LTM")</f>
        <v>#NAME?</v>
      </c>
      <c r="U34" s="9" t="e">
        <f t="shared" ca="1" si="0"/>
        <v>#NAME?</v>
      </c>
      <c r="Y34" s="1"/>
      <c r="Z34" s="1"/>
      <c r="AA34" s="10"/>
      <c r="AB34" s="1" t="s">
        <v>101</v>
      </c>
      <c r="AC34" s="1" t="s">
        <v>95</v>
      </c>
      <c r="AD34" s="10">
        <v>507.89722203999997</v>
      </c>
      <c r="AE34" s="1" t="s">
        <v>25</v>
      </c>
    </row>
    <row r="35" spans="1:31" x14ac:dyDescent="0.2">
      <c r="A35" s="1" t="s">
        <v>102</v>
      </c>
      <c r="B35" s="2">
        <v>18.29</v>
      </c>
      <c r="C35" s="3">
        <v>280.33395176252299</v>
      </c>
      <c r="D35" s="2">
        <v>-61.101999999999997</v>
      </c>
      <c r="E35" s="2" t="s">
        <v>1409</v>
      </c>
      <c r="F35" s="4">
        <v>-0.14099999999999999</v>
      </c>
      <c r="G35" s="4">
        <v>46.242408674227299</v>
      </c>
      <c r="H35" s="2">
        <v>2.0760000000000001</v>
      </c>
      <c r="I35" s="4">
        <v>3.3000000000000002E-2</v>
      </c>
      <c r="J35" s="4" t="s">
        <v>1408</v>
      </c>
      <c r="K35" s="4">
        <v>2.134754</v>
      </c>
      <c r="L35" s="4">
        <v>31.130009000000001</v>
      </c>
      <c r="N35" s="5">
        <v>329032.75</v>
      </c>
      <c r="O35" s="5">
        <v>708302</v>
      </c>
      <c r="P35" s="6">
        <v>0.4645373724767119</v>
      </c>
      <c r="Q35" s="1"/>
      <c r="R35" s="7" t="e">
        <f ca="1">_xll.SNL.Clients.Office.Excel.Functions.SPG(A35, "SP_TOTAL_DEBT", "LTM")</f>
        <v>#NAME?</v>
      </c>
      <c r="S35" s="8" t="e">
        <f ca="1">_xll.SNL.Clients.Office.Excel.Functions.SPG(A35, "SP_DEBT_TO_EQUITY", "LTM")</f>
        <v>#NAME?</v>
      </c>
      <c r="U35" s="9" t="e">
        <f t="shared" ca="1" si="0"/>
        <v>#NAME?</v>
      </c>
      <c r="Y35" s="1"/>
      <c r="Z35" s="1"/>
      <c r="AA35" s="10"/>
      <c r="AB35" s="1" t="s">
        <v>103</v>
      </c>
      <c r="AC35" s="1" t="s">
        <v>60</v>
      </c>
      <c r="AD35" s="10">
        <v>4362.96064346</v>
      </c>
      <c r="AE35" s="1" t="s">
        <v>25</v>
      </c>
    </row>
    <row r="36" spans="1:31" x14ac:dyDescent="0.2">
      <c r="A36" s="1" t="s">
        <v>104</v>
      </c>
      <c r="B36" s="2">
        <v>17.113</v>
      </c>
      <c r="C36" s="3">
        <v>-4.5584045584045496</v>
      </c>
      <c r="D36" s="2">
        <v>14.933999999999999</v>
      </c>
      <c r="E36" s="2">
        <v>11.914999999999999</v>
      </c>
      <c r="F36" s="4" t="s">
        <v>1408</v>
      </c>
      <c r="G36" s="4">
        <v>21.207218419415099</v>
      </c>
      <c r="H36" s="2" t="s">
        <v>1408</v>
      </c>
      <c r="I36" s="4" t="s">
        <v>1408</v>
      </c>
      <c r="J36" s="4" t="s">
        <v>1408</v>
      </c>
      <c r="K36" s="4">
        <v>2.530011</v>
      </c>
      <c r="L36" s="4">
        <v>6.4345420000000004</v>
      </c>
      <c r="N36" s="5" t="s">
        <v>1408</v>
      </c>
      <c r="O36" s="5">
        <v>852000</v>
      </c>
      <c r="P36" s="6" t="e">
        <v>#VALUE!</v>
      </c>
      <c r="Q36" s="1"/>
      <c r="R36" s="7" t="e">
        <f ca="1">_xll.SNL.Clients.Office.Excel.Functions.SPG(A36, "SP_TOTAL_DEBT", "LTM")</f>
        <v>#NAME?</v>
      </c>
      <c r="S36" s="8" t="e">
        <f ca="1">_xll.SNL.Clients.Office.Excel.Functions.SPG(A36, "SP_DEBT_TO_EQUITY", "LTM")</f>
        <v>#NAME?</v>
      </c>
      <c r="U36" s="9" t="e">
        <f t="shared" ca="1" si="0"/>
        <v>#VALUE!</v>
      </c>
      <c r="Y36" s="1"/>
      <c r="Z36" s="1"/>
      <c r="AA36" s="10"/>
      <c r="AB36" s="1" t="s">
        <v>105</v>
      </c>
      <c r="AC36" s="1" t="s">
        <v>95</v>
      </c>
      <c r="AD36" s="10">
        <v>10086.8482036</v>
      </c>
      <c r="AE36" s="1" t="s">
        <v>25</v>
      </c>
    </row>
    <row r="37" spans="1:31" x14ac:dyDescent="0.2">
      <c r="A37" s="1" t="s">
        <v>106</v>
      </c>
      <c r="B37" s="2">
        <v>11.965</v>
      </c>
      <c r="C37" s="3">
        <v>19.628927911275401</v>
      </c>
      <c r="D37" s="2">
        <v>8.3940000000000001</v>
      </c>
      <c r="E37" s="2">
        <v>12.273782000000001</v>
      </c>
      <c r="F37" s="4">
        <v>0.84299999999999997</v>
      </c>
      <c r="G37" s="4">
        <v>22.0837863516598</v>
      </c>
      <c r="H37" s="2">
        <v>0.84499999999999997</v>
      </c>
      <c r="I37" s="4">
        <v>9.6000000000000002E-2</v>
      </c>
      <c r="J37" s="4" t="s">
        <v>1408</v>
      </c>
      <c r="K37" s="4">
        <v>1.226699</v>
      </c>
      <c r="L37" s="4">
        <v>6.1675950000000004</v>
      </c>
      <c r="N37" s="5">
        <v>2396125</v>
      </c>
      <c r="O37" s="5">
        <v>4898000</v>
      </c>
      <c r="P37" s="6">
        <v>0.48920477746018781</v>
      </c>
      <c r="Q37" s="1"/>
      <c r="R37" s="7" t="e">
        <f ca="1">_xll.SNL.Clients.Office.Excel.Functions.SPG(A37, "SP_TOTAL_DEBT", "LTM")</f>
        <v>#NAME?</v>
      </c>
      <c r="S37" s="8" t="e">
        <f ca="1">_xll.SNL.Clients.Office.Excel.Functions.SPG(A37, "SP_DEBT_TO_EQUITY", "LTM")</f>
        <v>#NAME?</v>
      </c>
      <c r="U37" s="9" t="e">
        <f t="shared" ca="1" si="0"/>
        <v>#NAME?</v>
      </c>
      <c r="Y37" s="1"/>
      <c r="Z37" s="1"/>
      <c r="AA37" s="10"/>
      <c r="AB37" s="1" t="s">
        <v>107</v>
      </c>
      <c r="AC37" s="1" t="s">
        <v>108</v>
      </c>
      <c r="AD37" s="10">
        <v>48798.82424193</v>
      </c>
      <c r="AE37" s="1" t="s">
        <v>25</v>
      </c>
    </row>
    <row r="38" spans="1:31" x14ac:dyDescent="0.2">
      <c r="A38" s="1" t="s">
        <v>109</v>
      </c>
      <c r="B38" s="2" t="s">
        <v>1408</v>
      </c>
      <c r="C38" s="3">
        <v>-23.839009287925698</v>
      </c>
      <c r="D38" s="2">
        <v>-4.6769999999999996</v>
      </c>
      <c r="E38" s="2">
        <v>17.943089000000001</v>
      </c>
      <c r="F38" s="4">
        <v>0.85</v>
      </c>
      <c r="G38" s="4">
        <v>7.9428795253522999</v>
      </c>
      <c r="H38" s="2" t="s">
        <v>1408</v>
      </c>
      <c r="I38" s="4" t="s">
        <v>1408</v>
      </c>
      <c r="J38" s="4">
        <v>35.944691511467603</v>
      </c>
      <c r="K38" s="4">
        <v>1.367707</v>
      </c>
      <c r="L38" s="4" t="s">
        <v>1408</v>
      </c>
      <c r="N38" s="5" t="s">
        <v>1408</v>
      </c>
      <c r="O38" s="5">
        <v>26159</v>
      </c>
      <c r="P38" s="6" t="e">
        <v>#VALUE!</v>
      </c>
      <c r="Q38" s="1"/>
      <c r="R38" s="7" t="e">
        <f ca="1">_xll.SNL.Clients.Office.Excel.Functions.SPG(A38, "SP_TOTAL_DEBT", "LTM")</f>
        <v>#NAME?</v>
      </c>
      <c r="S38" s="8" t="e">
        <f ca="1">_xll.SNL.Clients.Office.Excel.Functions.SPG(A38, "SP_DEBT_TO_EQUITY", "LTM")</f>
        <v>#NAME?</v>
      </c>
      <c r="U38" s="9" t="e">
        <f t="shared" ca="1" si="0"/>
        <v>#VALUE!</v>
      </c>
      <c r="Y38" s="1"/>
      <c r="Z38" s="1"/>
      <c r="AA38" s="10"/>
      <c r="AB38" s="1" t="s">
        <v>110</v>
      </c>
      <c r="AC38" s="1" t="s">
        <v>34</v>
      </c>
      <c r="AD38" s="10">
        <v>481.38682123000001</v>
      </c>
      <c r="AE38" s="1" t="s">
        <v>25</v>
      </c>
    </row>
    <row r="39" spans="1:31" x14ac:dyDescent="0.2">
      <c r="A39" s="1" t="s">
        <v>111</v>
      </c>
      <c r="B39" s="2">
        <v>30.509</v>
      </c>
      <c r="C39" s="3">
        <v>-14.404332129963899</v>
      </c>
      <c r="D39" s="2">
        <v>6.7249999999999996</v>
      </c>
      <c r="E39" s="2">
        <v>18.944054000000001</v>
      </c>
      <c r="F39" s="4" t="s">
        <v>1408</v>
      </c>
      <c r="G39" s="4">
        <v>62.666258044744097</v>
      </c>
      <c r="H39" s="2" t="s">
        <v>1408</v>
      </c>
      <c r="I39" s="4" t="s">
        <v>1408</v>
      </c>
      <c r="J39" s="4" t="s">
        <v>1408</v>
      </c>
      <c r="K39" s="4">
        <v>10.285192</v>
      </c>
      <c r="L39" s="4">
        <v>7.6789290000000001</v>
      </c>
      <c r="N39" s="5" t="s">
        <v>1408</v>
      </c>
      <c r="O39" s="5">
        <v>2556000</v>
      </c>
      <c r="P39" s="6" t="e">
        <v>#VALUE!</v>
      </c>
      <c r="Q39" s="1"/>
      <c r="R39" s="7" t="e">
        <f ca="1">_xll.SNL.Clients.Office.Excel.Functions.SPG(A39, "SP_TOTAL_DEBT", "LTM")</f>
        <v>#NAME?</v>
      </c>
      <c r="S39" s="8" t="e">
        <f ca="1">_xll.SNL.Clients.Office.Excel.Functions.SPG(A39, "SP_DEBT_TO_EQUITY", "LTM")</f>
        <v>#NAME?</v>
      </c>
      <c r="U39" s="9" t="e">
        <f t="shared" ca="1" si="0"/>
        <v>#VALUE!</v>
      </c>
      <c r="Y39" s="1"/>
      <c r="Z39" s="1"/>
      <c r="AA39" s="10"/>
      <c r="AB39" s="1" t="s">
        <v>112</v>
      </c>
      <c r="AC39" s="1" t="s">
        <v>37</v>
      </c>
      <c r="AD39" s="10">
        <v>39145.722951360003</v>
      </c>
      <c r="AE39" s="1" t="s">
        <v>25</v>
      </c>
    </row>
    <row r="40" spans="1:31" x14ac:dyDescent="0.2">
      <c r="A40" s="1" t="s">
        <v>113</v>
      </c>
      <c r="B40" s="2" t="s">
        <v>1408</v>
      </c>
      <c r="C40" s="3">
        <v>-22.044088176352702</v>
      </c>
      <c r="D40" s="2">
        <v>-5.53</v>
      </c>
      <c r="E40" s="2">
        <v>12.069409</v>
      </c>
      <c r="F40" s="4">
        <v>1.071</v>
      </c>
      <c r="G40" s="4">
        <v>8.1218134697667992</v>
      </c>
      <c r="H40" s="2" t="s">
        <v>1408</v>
      </c>
      <c r="I40" s="4" t="s">
        <v>1408</v>
      </c>
      <c r="J40" s="4">
        <v>34.1767112991677</v>
      </c>
      <c r="K40" s="4">
        <v>0.94305499999999998</v>
      </c>
      <c r="L40" s="4" t="s">
        <v>1408</v>
      </c>
      <c r="N40" s="5" t="s">
        <v>1408</v>
      </c>
      <c r="O40" s="5">
        <v>269105</v>
      </c>
      <c r="P40" s="6" t="e">
        <v>#VALUE!</v>
      </c>
      <c r="Q40" s="1"/>
      <c r="R40" s="7" t="e">
        <f ca="1">_xll.SNL.Clients.Office.Excel.Functions.SPG(A40, "SP_TOTAL_DEBT", "LTM")</f>
        <v>#NAME?</v>
      </c>
      <c r="S40" s="8" t="e">
        <f ca="1">_xll.SNL.Clients.Office.Excel.Functions.SPG(A40, "SP_DEBT_TO_EQUITY", "LTM")</f>
        <v>#NAME?</v>
      </c>
      <c r="U40" s="9" t="e">
        <f t="shared" ca="1" si="0"/>
        <v>#VALUE!</v>
      </c>
      <c r="Y40" s="1"/>
      <c r="Z40" s="1"/>
      <c r="AA40" s="10"/>
      <c r="AB40" s="1" t="s">
        <v>114</v>
      </c>
      <c r="AC40" s="1" t="s">
        <v>34</v>
      </c>
      <c r="AD40" s="10">
        <v>3416.7738680399998</v>
      </c>
      <c r="AE40" s="1" t="s">
        <v>25</v>
      </c>
    </row>
    <row r="41" spans="1:31" x14ac:dyDescent="0.2">
      <c r="A41" s="1" t="s">
        <v>115</v>
      </c>
      <c r="B41" s="2">
        <v>11.781000000000001</v>
      </c>
      <c r="C41" s="3">
        <v>-15.044247787610599</v>
      </c>
      <c r="D41" s="2">
        <v>-6.7469999999999999</v>
      </c>
      <c r="E41" s="2">
        <v>14.764493</v>
      </c>
      <c r="F41" s="4">
        <v>3.722</v>
      </c>
      <c r="G41" s="4">
        <v>15.5149032585706</v>
      </c>
      <c r="H41" s="2">
        <v>2.222</v>
      </c>
      <c r="I41" s="4">
        <v>0.23100000000000001</v>
      </c>
      <c r="J41" s="4" t="s">
        <v>1408</v>
      </c>
      <c r="K41" s="4">
        <v>2.791255</v>
      </c>
      <c r="L41" s="4">
        <v>10.893763999999999</v>
      </c>
      <c r="N41" s="5">
        <v>37582</v>
      </c>
      <c r="O41" s="5">
        <v>63705</v>
      </c>
      <c r="P41" s="6">
        <v>0.58993799544776704</v>
      </c>
      <c r="Q41" s="1"/>
      <c r="R41" s="7" t="e">
        <f ca="1">_xll.SNL.Clients.Office.Excel.Functions.SPG(A41, "SP_TOTAL_DEBT", "LTM")</f>
        <v>#NAME?</v>
      </c>
      <c r="S41" s="8" t="e">
        <f ca="1">_xll.SNL.Clients.Office.Excel.Functions.SPG(A41, "SP_DEBT_TO_EQUITY", "LTM")</f>
        <v>#NAME?</v>
      </c>
      <c r="U41" s="9" t="e">
        <f t="shared" ca="1" si="0"/>
        <v>#NAME?</v>
      </c>
      <c r="Y41" s="1"/>
      <c r="Z41" s="1"/>
      <c r="AA41" s="10"/>
      <c r="AB41" s="1" t="s">
        <v>116</v>
      </c>
      <c r="AC41" s="1" t="s">
        <v>95</v>
      </c>
      <c r="AD41" s="10">
        <v>955.42587223999999</v>
      </c>
      <c r="AE41" s="1" t="s">
        <v>25</v>
      </c>
    </row>
    <row r="42" spans="1:31" x14ac:dyDescent="0.2">
      <c r="A42" s="1" t="s">
        <v>117</v>
      </c>
      <c r="B42" s="2" t="s">
        <v>1408</v>
      </c>
      <c r="C42" s="3" t="s">
        <v>1408</v>
      </c>
      <c r="D42" s="2" t="s">
        <v>1408</v>
      </c>
      <c r="E42" s="2" t="s">
        <v>1408</v>
      </c>
      <c r="F42" s="4" t="s">
        <v>1408</v>
      </c>
      <c r="G42" s="4" t="s">
        <v>1408</v>
      </c>
      <c r="H42" s="2" t="s">
        <v>1408</v>
      </c>
      <c r="I42" s="4" t="s">
        <v>1408</v>
      </c>
      <c r="J42" s="4" t="s">
        <v>1408</v>
      </c>
      <c r="K42" s="4" t="s">
        <v>1408</v>
      </c>
      <c r="L42" s="4" t="s">
        <v>1408</v>
      </c>
      <c r="N42" s="5" t="s">
        <v>1408</v>
      </c>
      <c r="O42" s="5" t="s">
        <v>1408</v>
      </c>
      <c r="P42" s="6" t="e">
        <v>#VALUE!</v>
      </c>
      <c r="Q42" s="1"/>
      <c r="R42" s="7" t="e">
        <f ca="1">_xll.SNL.Clients.Office.Excel.Functions.SPG(A42, "SP_TOTAL_DEBT", "LTM")</f>
        <v>#NAME?</v>
      </c>
      <c r="S42" s="8" t="e">
        <f ca="1">_xll.SNL.Clients.Office.Excel.Functions.SPG(A42, "SP_DEBT_TO_EQUITY", "LTM")</f>
        <v>#NAME?</v>
      </c>
      <c r="U42" s="9" t="e">
        <f t="shared" ca="1" si="0"/>
        <v>#VALUE!</v>
      </c>
      <c r="Y42" s="1"/>
      <c r="Z42" s="1"/>
      <c r="AA42" s="10"/>
      <c r="AB42" s="1" t="s">
        <v>118</v>
      </c>
      <c r="AC42" s="1" t="s">
        <v>60</v>
      </c>
      <c r="AD42" s="10">
        <v>45520</v>
      </c>
      <c r="AE42" s="1" t="s">
        <v>25</v>
      </c>
    </row>
    <row r="43" spans="1:31" x14ac:dyDescent="0.2">
      <c r="A43" s="1" t="s">
        <v>119</v>
      </c>
      <c r="B43" s="2" t="s">
        <v>1408</v>
      </c>
      <c r="C43" s="3">
        <v>-38.654147104851297</v>
      </c>
      <c r="D43" s="2">
        <v>-30.497</v>
      </c>
      <c r="E43" s="2" t="s">
        <v>1409</v>
      </c>
      <c r="F43" s="4">
        <v>-2.4380000000000002</v>
      </c>
      <c r="G43" s="4">
        <v>14.8611581566489</v>
      </c>
      <c r="H43" s="2">
        <v>0.26400000000000001</v>
      </c>
      <c r="I43" s="4" t="s">
        <v>1409</v>
      </c>
      <c r="J43" s="4" t="s">
        <v>1408</v>
      </c>
      <c r="K43" s="4">
        <v>1.036448</v>
      </c>
      <c r="L43" s="4" t="s">
        <v>1408</v>
      </c>
      <c r="N43" s="5" t="s">
        <v>1408</v>
      </c>
      <c r="O43" s="5">
        <v>-2134039</v>
      </c>
      <c r="P43" s="6" t="e">
        <v>#VALUE!</v>
      </c>
      <c r="Q43" s="1"/>
      <c r="R43" s="7" t="e">
        <f ca="1">_xll.SNL.Clients.Office.Excel.Functions.SPG(A43, "SP_TOTAL_DEBT", "LTM")</f>
        <v>#NAME?</v>
      </c>
      <c r="S43" s="8" t="e">
        <f ca="1">_xll.SNL.Clients.Office.Excel.Functions.SPG(A43, "SP_DEBT_TO_EQUITY", "LTM")</f>
        <v>#NAME?</v>
      </c>
      <c r="U43" s="9" t="e">
        <f t="shared" ca="1" si="0"/>
        <v>#VALUE!</v>
      </c>
      <c r="Y43" s="1"/>
      <c r="Z43" s="1"/>
      <c r="AA43" s="10"/>
      <c r="AB43" s="1" t="s">
        <v>120</v>
      </c>
      <c r="AC43" s="1" t="s">
        <v>65</v>
      </c>
      <c r="AD43" s="10">
        <v>9596.7271191899999</v>
      </c>
      <c r="AE43" s="1" t="s">
        <v>25</v>
      </c>
    </row>
    <row r="44" spans="1:31" x14ac:dyDescent="0.2">
      <c r="A44" s="1" t="s">
        <v>121</v>
      </c>
      <c r="B44" s="2">
        <v>2.9790000000000001</v>
      </c>
      <c r="C44" s="3" t="s">
        <v>1408</v>
      </c>
      <c r="D44" s="2">
        <v>9.31</v>
      </c>
      <c r="E44" s="2">
        <v>24.429721000000001</v>
      </c>
      <c r="F44" s="4">
        <v>2.5299999999999998</v>
      </c>
      <c r="G44" s="4" t="s">
        <v>1408</v>
      </c>
      <c r="H44" s="2">
        <v>1.8180000000000001</v>
      </c>
      <c r="I44" s="4">
        <v>0.38100000000000001</v>
      </c>
      <c r="J44" s="4" t="s">
        <v>1408</v>
      </c>
      <c r="K44" s="4">
        <v>1.1192299999999999</v>
      </c>
      <c r="L44" s="4">
        <v>7.6236050000000004</v>
      </c>
      <c r="N44" s="5">
        <v>-969370.25</v>
      </c>
      <c r="O44" s="5">
        <v>439395</v>
      </c>
      <c r="P44" s="6">
        <v>-2.2061476575746197</v>
      </c>
      <c r="Q44" s="1"/>
      <c r="R44" s="7" t="e">
        <f ca="1">_xll.SNL.Clients.Office.Excel.Functions.SPG(A44, "SP_TOTAL_DEBT", "LTM")</f>
        <v>#NAME?</v>
      </c>
      <c r="S44" s="8" t="e">
        <f ca="1">_xll.SNL.Clients.Office.Excel.Functions.SPG(A44, "SP_DEBT_TO_EQUITY", "LTM")</f>
        <v>#NAME?</v>
      </c>
      <c r="U44" s="9" t="e">
        <f t="shared" ca="1" si="0"/>
        <v>#NAME?</v>
      </c>
      <c r="Y44" s="1"/>
      <c r="Z44" s="1"/>
      <c r="AA44" s="10"/>
      <c r="AB44" s="1" t="s">
        <v>122</v>
      </c>
      <c r="AC44" s="1" t="s">
        <v>123</v>
      </c>
      <c r="AD44" s="10">
        <v>1452.9097870610599</v>
      </c>
      <c r="AE44" s="1" t="s">
        <v>42</v>
      </c>
    </row>
    <row r="45" spans="1:31" x14ac:dyDescent="0.2">
      <c r="A45" s="1" t="s">
        <v>124</v>
      </c>
      <c r="B45" s="2">
        <v>0.33400000000000002</v>
      </c>
      <c r="C45" s="3" t="s">
        <v>1408</v>
      </c>
      <c r="D45" s="2">
        <v>-38.799999999999997</v>
      </c>
      <c r="E45" s="2">
        <v>27.957336999999999</v>
      </c>
      <c r="F45" s="4">
        <v>1.5669999999999999</v>
      </c>
      <c r="G45" s="4">
        <v>-2.1967856952250502</v>
      </c>
      <c r="H45" s="2" t="s">
        <v>1408</v>
      </c>
      <c r="I45" s="4">
        <v>9.2999999999999999E-2</v>
      </c>
      <c r="J45" s="4" t="s">
        <v>1408</v>
      </c>
      <c r="K45" s="4">
        <v>1.370492</v>
      </c>
      <c r="L45" s="4">
        <v>10.643190000000001</v>
      </c>
      <c r="N45" s="5" t="s">
        <v>1408</v>
      </c>
      <c r="O45" s="5">
        <v>193238</v>
      </c>
      <c r="P45" s="6" t="e">
        <v>#VALUE!</v>
      </c>
      <c r="Q45" s="1"/>
      <c r="R45" s="7" t="e">
        <f ca="1">_xll.SNL.Clients.Office.Excel.Functions.SPG(A45, "SP_TOTAL_DEBT", "LTM")</f>
        <v>#NAME?</v>
      </c>
      <c r="S45" s="8" t="e">
        <f ca="1">_xll.SNL.Clients.Office.Excel.Functions.SPG(A45, "SP_DEBT_TO_EQUITY", "LTM")</f>
        <v>#NAME?</v>
      </c>
      <c r="U45" s="9" t="e">
        <f t="shared" ca="1" si="0"/>
        <v>#VALUE!</v>
      </c>
      <c r="Y45" s="1"/>
      <c r="Z45" s="1"/>
      <c r="AA45" s="10"/>
      <c r="AB45" s="1" t="s">
        <v>125</v>
      </c>
      <c r="AC45" s="1" t="s">
        <v>34</v>
      </c>
      <c r="AD45" s="10">
        <v>550.19506111333999</v>
      </c>
      <c r="AE45" s="1" t="s">
        <v>42</v>
      </c>
    </row>
    <row r="46" spans="1:31" x14ac:dyDescent="0.2">
      <c r="A46" s="1" t="s">
        <v>126</v>
      </c>
      <c r="B46" s="2" t="s">
        <v>1408</v>
      </c>
      <c r="C46" s="3">
        <v>-82.738095238095198</v>
      </c>
      <c r="D46" s="2">
        <v>-11.237</v>
      </c>
      <c r="E46" s="2">
        <v>38.103448</v>
      </c>
      <c r="F46" s="4">
        <v>0.61599999999999999</v>
      </c>
      <c r="G46" s="4">
        <v>2.56746046315945</v>
      </c>
      <c r="H46" s="2">
        <v>65.266000000000005</v>
      </c>
      <c r="I46" s="4">
        <v>0.03</v>
      </c>
      <c r="J46" s="4" t="s">
        <v>1408</v>
      </c>
      <c r="K46" s="4">
        <v>0.70720000000000005</v>
      </c>
      <c r="L46" s="4" t="s">
        <v>1408</v>
      </c>
      <c r="N46" s="5" t="s">
        <v>1408</v>
      </c>
      <c r="O46" s="5">
        <v>58127</v>
      </c>
      <c r="P46" s="6" t="e">
        <v>#VALUE!</v>
      </c>
      <c r="Q46" s="1"/>
      <c r="R46" s="7" t="e">
        <f ca="1">_xll.SNL.Clients.Office.Excel.Functions.SPG(A46, "SP_TOTAL_DEBT", "LTM")</f>
        <v>#NAME?</v>
      </c>
      <c r="S46" s="8" t="e">
        <f ca="1">_xll.SNL.Clients.Office.Excel.Functions.SPG(A46, "SP_DEBT_TO_EQUITY", "LTM")</f>
        <v>#NAME?</v>
      </c>
      <c r="U46" s="9" t="e">
        <f t="shared" ca="1" si="0"/>
        <v>#VALUE!</v>
      </c>
      <c r="Y46" s="1"/>
      <c r="Z46" s="1"/>
      <c r="AA46" s="10"/>
      <c r="AB46" s="1" t="s">
        <v>127</v>
      </c>
      <c r="AC46" s="1" t="s">
        <v>65</v>
      </c>
      <c r="AD46" s="10">
        <v>1577.5620318000001</v>
      </c>
      <c r="AE46" s="1" t="s">
        <v>25</v>
      </c>
    </row>
    <row r="47" spans="1:31" x14ac:dyDescent="0.2">
      <c r="A47" s="1" t="s">
        <v>128</v>
      </c>
      <c r="B47" s="2" t="s">
        <v>1408</v>
      </c>
      <c r="C47" s="3">
        <v>-26.754385964912299</v>
      </c>
      <c r="D47" s="2">
        <v>-1.123</v>
      </c>
      <c r="E47" s="2">
        <v>7.1121179999999997</v>
      </c>
      <c r="F47" s="4">
        <v>2.3610000000000002</v>
      </c>
      <c r="G47" s="4">
        <v>12.3607885305317</v>
      </c>
      <c r="H47" s="2">
        <v>12.199</v>
      </c>
      <c r="I47" s="4">
        <v>4.2999999999999997E-2</v>
      </c>
      <c r="J47" s="4" t="s">
        <v>1408</v>
      </c>
      <c r="K47" s="4">
        <v>0.95811999999999997</v>
      </c>
      <c r="L47" s="4" t="s">
        <v>1408</v>
      </c>
      <c r="N47" s="5" t="s">
        <v>1408</v>
      </c>
      <c r="O47" s="5">
        <v>397361</v>
      </c>
      <c r="P47" s="6" t="e">
        <v>#VALUE!</v>
      </c>
      <c r="Q47" s="1"/>
      <c r="R47" s="7" t="e">
        <f ca="1">_xll.SNL.Clients.Office.Excel.Functions.SPG(A47, "SP_TOTAL_DEBT", "LTM")</f>
        <v>#NAME?</v>
      </c>
      <c r="S47" s="8" t="e">
        <f ca="1">_xll.SNL.Clients.Office.Excel.Functions.SPG(A47, "SP_DEBT_TO_EQUITY", "LTM")</f>
        <v>#NAME?</v>
      </c>
      <c r="U47" s="9" t="e">
        <f t="shared" ca="1" si="0"/>
        <v>#VALUE!</v>
      </c>
      <c r="Y47" s="1"/>
      <c r="Z47" s="1"/>
      <c r="AA47" s="10"/>
      <c r="AB47" s="1" t="s">
        <v>129</v>
      </c>
      <c r="AC47" s="1" t="s">
        <v>65</v>
      </c>
      <c r="AD47" s="10">
        <v>2507.0718385999999</v>
      </c>
      <c r="AE47" s="1" t="s">
        <v>25</v>
      </c>
    </row>
    <row r="48" spans="1:31" x14ac:dyDescent="0.2">
      <c r="A48" s="1" t="s">
        <v>130</v>
      </c>
      <c r="B48" s="2">
        <v>5.8959999999999999</v>
      </c>
      <c r="C48" s="3">
        <v>-27.342256214149099</v>
      </c>
      <c r="D48" s="2">
        <v>3.944</v>
      </c>
      <c r="E48" s="2">
        <v>10.737303000000001</v>
      </c>
      <c r="F48" s="4">
        <v>4.0640000000000001</v>
      </c>
      <c r="G48" s="4">
        <v>11.774548495833001</v>
      </c>
      <c r="H48" s="2">
        <v>1.712</v>
      </c>
      <c r="I48" s="4">
        <v>0.251</v>
      </c>
      <c r="J48" s="4" t="s">
        <v>1408</v>
      </c>
      <c r="K48" s="4">
        <v>2.1444200000000002</v>
      </c>
      <c r="L48" s="4">
        <v>9.3797110000000004</v>
      </c>
      <c r="N48" s="5">
        <v>2394206.25</v>
      </c>
      <c r="O48" s="5">
        <v>2971788</v>
      </c>
      <c r="P48" s="6">
        <v>0.8056450359177707</v>
      </c>
      <c r="Q48" s="1"/>
      <c r="R48" s="7" t="e">
        <f ca="1">_xll.SNL.Clients.Office.Excel.Functions.SPG(A48, "SP_TOTAL_DEBT", "LTM")</f>
        <v>#NAME?</v>
      </c>
      <c r="S48" s="8" t="e">
        <f ca="1">_xll.SNL.Clients.Office.Excel.Functions.SPG(A48, "SP_DEBT_TO_EQUITY", "LTM")</f>
        <v>#NAME?</v>
      </c>
      <c r="U48" s="9" t="e">
        <f t="shared" ca="1" si="0"/>
        <v>#NAME?</v>
      </c>
      <c r="Y48" s="1"/>
      <c r="Z48" s="1"/>
      <c r="AA48" s="10"/>
      <c r="AB48" s="1" t="s">
        <v>131</v>
      </c>
      <c r="AC48" s="1" t="s">
        <v>95</v>
      </c>
      <c r="AD48" s="10">
        <v>30582.053842649999</v>
      </c>
      <c r="AE48" s="1" t="s">
        <v>25</v>
      </c>
    </row>
    <row r="49" spans="1:31" x14ac:dyDescent="0.2">
      <c r="A49" s="1" t="s">
        <v>132</v>
      </c>
      <c r="B49" s="2" t="s">
        <v>1408</v>
      </c>
      <c r="C49" s="3" t="s">
        <v>1408</v>
      </c>
      <c r="D49" s="2" t="s">
        <v>1408</v>
      </c>
      <c r="E49" s="2">
        <v>25.672371999999999</v>
      </c>
      <c r="F49" s="4" t="s">
        <v>1408</v>
      </c>
      <c r="G49" s="4" t="s">
        <v>1408</v>
      </c>
      <c r="H49" s="2">
        <v>8.9600000000000009</v>
      </c>
      <c r="I49" s="4" t="s">
        <v>1408</v>
      </c>
      <c r="J49" s="4" t="s">
        <v>1408</v>
      </c>
      <c r="K49" s="4" t="s">
        <v>1409</v>
      </c>
      <c r="L49" s="4" t="s">
        <v>1408</v>
      </c>
      <c r="N49" s="5" t="s">
        <v>1408</v>
      </c>
      <c r="O49" s="5">
        <v>9964.6119999999992</v>
      </c>
      <c r="P49" s="6" t="e">
        <v>#VALUE!</v>
      </c>
      <c r="Q49" s="1"/>
      <c r="R49" s="7" t="e">
        <f ca="1">_xll.SNL.Clients.Office.Excel.Functions.SPG(A49, "SP_TOTAL_DEBT", "LTM")</f>
        <v>#NAME?</v>
      </c>
      <c r="S49" s="8" t="e">
        <f ca="1">_xll.SNL.Clients.Office.Excel.Functions.SPG(A49, "SP_DEBT_TO_EQUITY", "LTM")</f>
        <v>#NAME?</v>
      </c>
      <c r="U49" s="9" t="e">
        <f t="shared" ca="1" si="0"/>
        <v>#VALUE!</v>
      </c>
      <c r="Y49" s="1"/>
      <c r="Z49" s="1"/>
      <c r="AA49" s="10"/>
      <c r="AB49" s="1" t="s">
        <v>133</v>
      </c>
      <c r="AC49" s="1" t="s">
        <v>37</v>
      </c>
      <c r="AD49" s="10">
        <v>656.25</v>
      </c>
      <c r="AE49" s="1" t="s">
        <v>25</v>
      </c>
    </row>
    <row r="50" spans="1:31" x14ac:dyDescent="0.2">
      <c r="A50" s="1" t="s">
        <v>134</v>
      </c>
      <c r="B50" s="2" t="s">
        <v>1408</v>
      </c>
      <c r="C50" s="3">
        <v>-59.8591549295775</v>
      </c>
      <c r="D50" s="2">
        <v>-40.125999999999998</v>
      </c>
      <c r="E50" s="2">
        <v>143.28125</v>
      </c>
      <c r="F50" s="4">
        <v>0.13600000000000001</v>
      </c>
      <c r="G50" s="4">
        <v>4.0311352243871204</v>
      </c>
      <c r="H50" s="2">
        <v>92.29</v>
      </c>
      <c r="I50" s="4">
        <v>1.7000000000000001E-2</v>
      </c>
      <c r="J50" s="4" t="s">
        <v>1408</v>
      </c>
      <c r="K50" s="4">
        <v>0.72622200000000003</v>
      </c>
      <c r="L50" s="4" t="s">
        <v>1408</v>
      </c>
      <c r="N50" s="5" t="s">
        <v>1408</v>
      </c>
      <c r="O50" s="5">
        <v>3456</v>
      </c>
      <c r="P50" s="6" t="e">
        <v>#VALUE!</v>
      </c>
      <c r="Q50" s="1"/>
      <c r="R50" s="7" t="e">
        <f ca="1">_xll.SNL.Clients.Office.Excel.Functions.SPG(A50, "SP_TOTAL_DEBT", "LTM")</f>
        <v>#NAME?</v>
      </c>
      <c r="S50" s="8" t="e">
        <f ca="1">_xll.SNL.Clients.Office.Excel.Functions.SPG(A50, "SP_DEBT_TO_EQUITY", "LTM")</f>
        <v>#NAME?</v>
      </c>
      <c r="U50" s="9" t="e">
        <f t="shared" ca="1" si="0"/>
        <v>#VALUE!</v>
      </c>
      <c r="Y50" s="1"/>
      <c r="Z50" s="1"/>
      <c r="AA50" s="10"/>
      <c r="AB50" s="1" t="s">
        <v>135</v>
      </c>
      <c r="AC50" s="1" t="s">
        <v>65</v>
      </c>
      <c r="AD50" s="10">
        <v>514.39454957999999</v>
      </c>
      <c r="AE50" s="1" t="s">
        <v>25</v>
      </c>
    </row>
    <row r="51" spans="1:31" x14ac:dyDescent="0.2">
      <c r="A51" s="1" t="s">
        <v>136</v>
      </c>
      <c r="B51" s="2">
        <v>2.4340000000000002</v>
      </c>
      <c r="C51" s="3">
        <v>-59.534883720930203</v>
      </c>
      <c r="D51" s="2">
        <v>-27.46</v>
      </c>
      <c r="E51" s="2">
        <v>58.359375</v>
      </c>
      <c r="F51" s="4">
        <v>2.7679999999999998</v>
      </c>
      <c r="G51" s="4">
        <v>12.0168887780359</v>
      </c>
      <c r="H51" s="2">
        <v>0.497</v>
      </c>
      <c r="I51" s="4">
        <v>0.158</v>
      </c>
      <c r="J51" s="4" t="s">
        <v>1408</v>
      </c>
      <c r="K51" s="4">
        <v>13.764362</v>
      </c>
      <c r="L51" s="4">
        <v>31.784859000000001</v>
      </c>
      <c r="N51" s="5">
        <v>1124384.5</v>
      </c>
      <c r="O51" s="5">
        <v>1029735</v>
      </c>
      <c r="P51" s="6">
        <v>1.0919163668322434</v>
      </c>
      <c r="Q51" s="1"/>
      <c r="R51" s="7" t="e">
        <f ca="1">_xll.SNL.Clients.Office.Excel.Functions.SPG(A51, "SP_TOTAL_DEBT", "LTM")</f>
        <v>#NAME?</v>
      </c>
      <c r="S51" s="8" t="e">
        <f ca="1">_xll.SNL.Clients.Office.Excel.Functions.SPG(A51, "SP_DEBT_TO_EQUITY", "LTM")</f>
        <v>#NAME?</v>
      </c>
      <c r="U51" s="9" t="e">
        <f t="shared" ca="1" si="0"/>
        <v>#NAME?</v>
      </c>
      <c r="Y51" s="1"/>
      <c r="Z51" s="1"/>
      <c r="AA51" s="10"/>
      <c r="AB51" s="1" t="s">
        <v>137</v>
      </c>
      <c r="AC51" s="1" t="s">
        <v>37</v>
      </c>
      <c r="AD51" s="10">
        <v>22969.039216720001</v>
      </c>
      <c r="AE51" s="1" t="s">
        <v>25</v>
      </c>
    </row>
    <row r="52" spans="1:31" x14ac:dyDescent="0.2">
      <c r="A52" s="1" t="s">
        <v>138</v>
      </c>
      <c r="B52" s="2" t="s">
        <v>1408</v>
      </c>
      <c r="C52" s="3" t="s">
        <v>1409</v>
      </c>
      <c r="D52" s="2" t="s">
        <v>1409</v>
      </c>
      <c r="E52" s="2" t="s">
        <v>1409</v>
      </c>
      <c r="F52" s="4">
        <v>-1.032</v>
      </c>
      <c r="G52" s="4">
        <v>-22.615627164276699</v>
      </c>
      <c r="H52" s="2">
        <v>1.097</v>
      </c>
      <c r="I52" s="4" t="s">
        <v>1409</v>
      </c>
      <c r="J52" s="4" t="s">
        <v>1408</v>
      </c>
      <c r="K52" s="4">
        <v>0.74718600000000002</v>
      </c>
      <c r="L52" s="4" t="s">
        <v>1408</v>
      </c>
      <c r="N52" s="5" t="s">
        <v>1408</v>
      </c>
      <c r="O52" s="5">
        <v>-128155</v>
      </c>
      <c r="P52" s="6" t="e">
        <v>#VALUE!</v>
      </c>
      <c r="Q52" s="1"/>
      <c r="R52" s="7" t="e">
        <f ca="1">_xll.SNL.Clients.Office.Excel.Functions.SPG(A52, "SP_TOTAL_DEBT", "LTM")</f>
        <v>#NAME?</v>
      </c>
      <c r="S52" s="8" t="e">
        <f ca="1">_xll.SNL.Clients.Office.Excel.Functions.SPG(A52, "SP_DEBT_TO_EQUITY", "LTM")</f>
        <v>#NAME?</v>
      </c>
      <c r="U52" s="9" t="e">
        <f t="shared" ca="1" si="0"/>
        <v>#VALUE!</v>
      </c>
      <c r="Y52" s="1"/>
      <c r="Z52" s="1"/>
      <c r="AA52" s="10"/>
      <c r="AB52" s="1" t="s">
        <v>139</v>
      </c>
      <c r="AC52" s="1" t="s">
        <v>65</v>
      </c>
      <c r="AD52" s="10">
        <v>933.36206519999996</v>
      </c>
      <c r="AE52" s="1" t="s">
        <v>25</v>
      </c>
    </row>
    <row r="53" spans="1:31" x14ac:dyDescent="0.2">
      <c r="A53" s="1" t="s">
        <v>140</v>
      </c>
      <c r="B53" s="2" t="s">
        <v>1408</v>
      </c>
      <c r="C53" s="3">
        <v>-38.200007122711</v>
      </c>
      <c r="D53" s="2">
        <v>-9.6059999999999999</v>
      </c>
      <c r="E53" s="2">
        <v>13.512748</v>
      </c>
      <c r="F53" s="4">
        <v>0.73899999999999999</v>
      </c>
      <c r="G53" s="4">
        <v>8.2901254475840798</v>
      </c>
      <c r="H53" s="2" t="s">
        <v>1408</v>
      </c>
      <c r="I53" s="4" t="s">
        <v>1408</v>
      </c>
      <c r="J53" s="4">
        <v>31.641065047261701</v>
      </c>
      <c r="K53" s="4">
        <v>1.06402</v>
      </c>
      <c r="L53" s="4" t="s">
        <v>1408</v>
      </c>
      <c r="N53" s="5" t="s">
        <v>1408</v>
      </c>
      <c r="O53" s="5">
        <v>30075</v>
      </c>
      <c r="P53" s="6" t="e">
        <v>#VALUE!</v>
      </c>
      <c r="Q53" s="1"/>
      <c r="R53" s="7" t="e">
        <f ca="1">_xll.SNL.Clients.Office.Excel.Functions.SPG(A53, "SP_TOTAL_DEBT", "LTM")</f>
        <v>#NAME?</v>
      </c>
      <c r="S53" s="8" t="e">
        <f ca="1">_xll.SNL.Clients.Office.Excel.Functions.SPG(A53, "SP_DEBT_TO_EQUITY", "LTM")</f>
        <v>#NAME?</v>
      </c>
      <c r="U53" s="9" t="e">
        <f t="shared" ca="1" si="0"/>
        <v>#VALUE!</v>
      </c>
      <c r="Y53" s="1"/>
      <c r="Z53" s="1"/>
      <c r="AA53" s="10"/>
      <c r="AB53" s="1" t="s">
        <v>141</v>
      </c>
      <c r="AC53" s="1" t="s">
        <v>34</v>
      </c>
      <c r="AD53" s="10">
        <v>429.62215054000001</v>
      </c>
      <c r="AE53" s="1" t="s">
        <v>25</v>
      </c>
    </row>
    <row r="54" spans="1:31" x14ac:dyDescent="0.2">
      <c r="A54" s="1" t="s">
        <v>142</v>
      </c>
      <c r="B54" s="2">
        <v>22.986000000000001</v>
      </c>
      <c r="C54" s="3">
        <v>8.5034013605442205</v>
      </c>
      <c r="D54" s="2">
        <v>-1.831</v>
      </c>
      <c r="E54" s="2">
        <v>13.260187999999999</v>
      </c>
      <c r="F54" s="4">
        <v>14.372</v>
      </c>
      <c r="G54" s="4">
        <v>101.67367819938499</v>
      </c>
      <c r="H54" s="2">
        <v>3.117</v>
      </c>
      <c r="I54" s="4">
        <v>0.73899999999999999</v>
      </c>
      <c r="J54" s="4" t="s">
        <v>1408</v>
      </c>
      <c r="K54" s="4">
        <v>8.2584929999999996</v>
      </c>
      <c r="L54" s="4">
        <v>9.7334849999999999</v>
      </c>
      <c r="N54" s="5" t="s">
        <v>1408</v>
      </c>
      <c r="O54" s="5">
        <v>311800</v>
      </c>
      <c r="P54" s="6" t="e">
        <v>#VALUE!</v>
      </c>
      <c r="Q54" s="1"/>
      <c r="R54" s="7" t="e">
        <f ca="1">_xll.SNL.Clients.Office.Excel.Functions.SPG(A54, "SP_TOTAL_DEBT", "LTM")</f>
        <v>#NAME?</v>
      </c>
      <c r="S54" s="8" t="e">
        <f ca="1">_xll.SNL.Clients.Office.Excel.Functions.SPG(A54, "SP_DEBT_TO_EQUITY", "LTM")</f>
        <v>#NAME?</v>
      </c>
      <c r="U54" s="9" t="e">
        <f t="shared" ca="1" si="0"/>
        <v>#VALUE!</v>
      </c>
      <c r="Y54" s="1"/>
      <c r="Z54" s="1"/>
      <c r="AA54" s="10"/>
      <c r="AB54" s="1" t="s">
        <v>143</v>
      </c>
      <c r="AC54" s="1" t="s">
        <v>37</v>
      </c>
      <c r="AD54" s="10">
        <v>2874.34</v>
      </c>
      <c r="AE54" s="1" t="s">
        <v>25</v>
      </c>
    </row>
    <row r="55" spans="1:31" x14ac:dyDescent="0.2">
      <c r="A55" s="1" t="s">
        <v>144</v>
      </c>
      <c r="B55" s="2">
        <v>7.5819999999999999</v>
      </c>
      <c r="C55" s="3">
        <v>300</v>
      </c>
      <c r="D55" s="2">
        <v>16.596</v>
      </c>
      <c r="E55" s="2">
        <v>20.155843999999998</v>
      </c>
      <c r="F55" s="4">
        <v>7.7130000000000001</v>
      </c>
      <c r="G55" s="4">
        <v>9.6892930173443297</v>
      </c>
      <c r="H55" s="2">
        <v>2.996</v>
      </c>
      <c r="I55" s="4">
        <v>0.46500000000000002</v>
      </c>
      <c r="J55" s="4" t="s">
        <v>1408</v>
      </c>
      <c r="K55" s="4">
        <v>1.8784799999999999</v>
      </c>
      <c r="L55" s="4">
        <v>10.478645999999999</v>
      </c>
      <c r="N55" s="5">
        <v>171347.875</v>
      </c>
      <c r="O55" s="5">
        <v>114077</v>
      </c>
      <c r="P55" s="6">
        <v>1.5020370013236672</v>
      </c>
      <c r="Q55" s="1"/>
      <c r="R55" s="7" t="e">
        <f ca="1">_xll.SNL.Clients.Office.Excel.Functions.SPG(A55, "SP_TOTAL_DEBT", "LTM")</f>
        <v>#NAME?</v>
      </c>
      <c r="S55" s="8" t="e">
        <f ca="1">_xll.SNL.Clients.Office.Excel.Functions.SPG(A55, "SP_DEBT_TO_EQUITY", "LTM")</f>
        <v>#NAME?</v>
      </c>
      <c r="U55" s="9" t="e">
        <f t="shared" ca="1" si="0"/>
        <v>#NAME?</v>
      </c>
      <c r="Y55" s="1"/>
      <c r="Z55" s="1"/>
      <c r="AA55" s="10"/>
      <c r="AB55" s="1" t="s">
        <v>145</v>
      </c>
      <c r="AC55" s="1" t="s">
        <v>37</v>
      </c>
      <c r="AD55" s="10">
        <v>2277.7185298600002</v>
      </c>
      <c r="AE55" s="1" t="s">
        <v>25</v>
      </c>
    </row>
    <row r="56" spans="1:31" x14ac:dyDescent="0.2">
      <c r="A56" s="1" t="s">
        <v>146</v>
      </c>
      <c r="B56" s="2" t="s">
        <v>1408</v>
      </c>
      <c r="C56" s="3">
        <v>-51.709401709401703</v>
      </c>
      <c r="D56" s="2">
        <v>-14.816000000000001</v>
      </c>
      <c r="E56" s="2">
        <v>17.628319000000001</v>
      </c>
      <c r="F56" s="4">
        <v>0.45500000000000002</v>
      </c>
      <c r="G56" s="4">
        <v>4.4502519740276298</v>
      </c>
      <c r="H56" s="2" t="s">
        <v>1408</v>
      </c>
      <c r="I56" s="4" t="s">
        <v>1408</v>
      </c>
      <c r="J56" s="4">
        <v>33.299560750968702</v>
      </c>
      <c r="K56" s="4">
        <v>0.74431099999999994</v>
      </c>
      <c r="L56" s="4" t="s">
        <v>1408</v>
      </c>
      <c r="N56" s="5" t="s">
        <v>1408</v>
      </c>
      <c r="O56" s="5">
        <v>182956</v>
      </c>
      <c r="P56" s="6" t="e">
        <v>#VALUE!</v>
      </c>
      <c r="Q56" s="1"/>
      <c r="R56" s="7" t="e">
        <f ca="1">_xll.SNL.Clients.Office.Excel.Functions.SPG(A56, "SP_TOTAL_DEBT", "LTM")</f>
        <v>#NAME?</v>
      </c>
      <c r="S56" s="8" t="e">
        <f ca="1">_xll.SNL.Clients.Office.Excel.Functions.SPG(A56, "SP_DEBT_TO_EQUITY", "LTM")</f>
        <v>#NAME?</v>
      </c>
      <c r="U56" s="9" t="e">
        <f t="shared" ca="1" si="0"/>
        <v>#VALUE!</v>
      </c>
      <c r="Y56" s="1"/>
      <c r="Z56" s="1"/>
      <c r="AA56" s="10"/>
      <c r="AB56" s="1" t="s">
        <v>147</v>
      </c>
      <c r="AC56" s="1" t="s">
        <v>34</v>
      </c>
      <c r="AD56" s="10">
        <v>3124.3971000000001</v>
      </c>
      <c r="AE56" s="1" t="s">
        <v>25</v>
      </c>
    </row>
    <row r="57" spans="1:31" x14ac:dyDescent="0.2">
      <c r="A57" s="1" t="s">
        <v>148</v>
      </c>
      <c r="B57" s="2" t="s">
        <v>1408</v>
      </c>
      <c r="C57" s="3" t="s">
        <v>1409</v>
      </c>
      <c r="D57" s="2" t="s">
        <v>1408</v>
      </c>
      <c r="E57" s="2">
        <v>20.408805000000001</v>
      </c>
      <c r="F57" s="4" t="s">
        <v>1408</v>
      </c>
      <c r="G57" s="4">
        <v>4.1921286750607196</v>
      </c>
      <c r="H57" s="2" t="s">
        <v>1408</v>
      </c>
      <c r="I57" s="4" t="s">
        <v>1408</v>
      </c>
      <c r="J57" s="4" t="s">
        <v>1408</v>
      </c>
      <c r="K57" s="4">
        <v>0.78334300000000001</v>
      </c>
      <c r="L57" s="4" t="s">
        <v>1409</v>
      </c>
      <c r="N57" s="5" t="s">
        <v>1408</v>
      </c>
      <c r="O57" s="5">
        <v>37728</v>
      </c>
      <c r="P57" s="6" t="e">
        <v>#VALUE!</v>
      </c>
      <c r="Q57" s="1"/>
      <c r="R57" s="7" t="e">
        <f ca="1">_xll.SNL.Clients.Office.Excel.Functions.SPG(A57, "SP_TOTAL_DEBT", "LTM")</f>
        <v>#NAME?</v>
      </c>
      <c r="S57" s="8" t="e">
        <f ca="1">_xll.SNL.Clients.Office.Excel.Functions.SPG(A57, "SP_DEBT_TO_EQUITY", "LTM")</f>
        <v>#NAME?</v>
      </c>
      <c r="U57" s="9" t="e">
        <f t="shared" ca="1" si="0"/>
        <v>#VALUE!</v>
      </c>
      <c r="Y57" s="1"/>
      <c r="Z57" s="1"/>
      <c r="AA57" s="10"/>
      <c r="AB57" s="1" t="s">
        <v>149</v>
      </c>
      <c r="AC57" s="1" t="s">
        <v>37</v>
      </c>
      <c r="AD57" s="10">
        <v>734.31817443</v>
      </c>
      <c r="AE57" s="1" t="s">
        <v>25</v>
      </c>
    </row>
    <row r="58" spans="1:31" x14ac:dyDescent="0.2">
      <c r="A58" s="1" t="s">
        <v>150</v>
      </c>
      <c r="B58" s="2">
        <v>8.6039999999999992</v>
      </c>
      <c r="C58" s="3">
        <v>136.633663366337</v>
      </c>
      <c r="D58" s="2">
        <v>9.2080000000000002</v>
      </c>
      <c r="E58" s="2">
        <v>14.133054</v>
      </c>
      <c r="F58" s="4">
        <v>1.7130000000000001</v>
      </c>
      <c r="G58" s="4">
        <v>14.3638812660336</v>
      </c>
      <c r="H58" s="2">
        <v>0.27400000000000002</v>
      </c>
      <c r="I58" s="4">
        <v>0.33300000000000002</v>
      </c>
      <c r="J58" s="4" t="s">
        <v>1408</v>
      </c>
      <c r="K58" s="4">
        <v>1.8629150000000001</v>
      </c>
      <c r="L58" s="4">
        <v>9.839556</v>
      </c>
      <c r="N58" s="5" t="s">
        <v>1408</v>
      </c>
      <c r="O58" s="5">
        <v>642500</v>
      </c>
      <c r="P58" s="6" t="e">
        <v>#VALUE!</v>
      </c>
      <c r="Q58" s="1"/>
      <c r="R58" s="7" t="e">
        <f ca="1">_xll.SNL.Clients.Office.Excel.Functions.SPG(A58, "SP_TOTAL_DEBT", "LTM")</f>
        <v>#NAME?</v>
      </c>
      <c r="S58" s="8" t="e">
        <f ca="1">_xll.SNL.Clients.Office.Excel.Functions.SPG(A58, "SP_DEBT_TO_EQUITY", "LTM")</f>
        <v>#NAME?</v>
      </c>
      <c r="U58" s="9" t="e">
        <f t="shared" ca="1" si="0"/>
        <v>#VALUE!</v>
      </c>
      <c r="Y58" s="1"/>
      <c r="Z58" s="1"/>
      <c r="AA58" s="10"/>
      <c r="AB58" s="1" t="s">
        <v>151</v>
      </c>
      <c r="AC58" s="1" t="s">
        <v>108</v>
      </c>
      <c r="AD58" s="10">
        <v>8723.2789971000002</v>
      </c>
      <c r="AE58" s="1" t="s">
        <v>25</v>
      </c>
    </row>
    <row r="59" spans="1:31" x14ac:dyDescent="0.2">
      <c r="A59" s="1" t="s">
        <v>152</v>
      </c>
      <c r="B59" s="2">
        <v>2.8530000000000002</v>
      </c>
      <c r="C59" s="3">
        <v>-63.288718929254301</v>
      </c>
      <c r="D59" s="2">
        <v>9.9459999999999997</v>
      </c>
      <c r="E59" s="2">
        <v>10.81451</v>
      </c>
      <c r="F59" s="4">
        <v>1.097</v>
      </c>
      <c r="G59" s="4">
        <v>2.42692648361382</v>
      </c>
      <c r="H59" s="2">
        <v>0.99299999999999999</v>
      </c>
      <c r="I59" s="4">
        <v>6.7000000000000004E-2</v>
      </c>
      <c r="J59" s="4" t="s">
        <v>1408</v>
      </c>
      <c r="K59" s="4">
        <v>0.89542900000000003</v>
      </c>
      <c r="L59" s="4">
        <v>22.442792000000001</v>
      </c>
      <c r="N59" s="5">
        <v>-254125</v>
      </c>
      <c r="O59" s="5">
        <v>464000</v>
      </c>
      <c r="P59" s="6">
        <v>-0.54768318965517238</v>
      </c>
      <c r="Q59" s="1"/>
      <c r="R59" s="7" t="e">
        <f ca="1">_xll.SNL.Clients.Office.Excel.Functions.SPG(A59, "SP_TOTAL_DEBT", "LTM")</f>
        <v>#NAME?</v>
      </c>
      <c r="S59" s="8" t="e">
        <f ca="1">_xll.SNL.Clients.Office.Excel.Functions.SPG(A59, "SP_DEBT_TO_EQUITY", "LTM")</f>
        <v>#NAME?</v>
      </c>
      <c r="U59" s="9" t="e">
        <f t="shared" ca="1" si="0"/>
        <v>#NAME?</v>
      </c>
      <c r="Y59" s="1"/>
      <c r="Z59" s="1"/>
      <c r="AA59" s="10"/>
      <c r="AB59" s="1" t="s">
        <v>153</v>
      </c>
      <c r="AC59" s="1" t="s">
        <v>95</v>
      </c>
      <c r="AD59" s="10">
        <v>4642.1051831699997</v>
      </c>
      <c r="AE59" s="1" t="s">
        <v>25</v>
      </c>
    </row>
    <row r="60" spans="1:31" x14ac:dyDescent="0.2">
      <c r="A60" s="1" t="s">
        <v>154</v>
      </c>
      <c r="B60" s="2">
        <v>58.664000000000001</v>
      </c>
      <c r="C60" s="3" t="s">
        <v>1408</v>
      </c>
      <c r="D60" s="2">
        <v>-9.8610000000000007</v>
      </c>
      <c r="E60" s="2">
        <v>66.666667000000004</v>
      </c>
      <c r="F60" s="4">
        <v>42.484000000000002</v>
      </c>
      <c r="G60" s="4" t="s">
        <v>1408</v>
      </c>
      <c r="H60" s="2">
        <v>1.008</v>
      </c>
      <c r="I60" s="4">
        <v>5.2169999999999996</v>
      </c>
      <c r="J60" s="4" t="s">
        <v>1408</v>
      </c>
      <c r="K60" s="4">
        <v>100</v>
      </c>
      <c r="L60" s="4">
        <v>38.017543000000003</v>
      </c>
      <c r="N60" s="5">
        <v>4625.5</v>
      </c>
      <c r="O60" s="5">
        <v>13941</v>
      </c>
      <c r="P60" s="6">
        <v>0.33179111971881503</v>
      </c>
      <c r="Q60" s="1"/>
      <c r="R60" s="7" t="e">
        <f ca="1">_xll.SNL.Clients.Office.Excel.Functions.SPG(A60, "SP_TOTAL_DEBT", "LTM")</f>
        <v>#NAME?</v>
      </c>
      <c r="S60" s="8" t="e">
        <f ca="1">_xll.SNL.Clients.Office.Excel.Functions.SPG(A60, "SP_DEBT_TO_EQUITY", "LTM")</f>
        <v>#NAME?</v>
      </c>
      <c r="U60" s="9" t="e">
        <f t="shared" ca="1" si="0"/>
        <v>#NAME?</v>
      </c>
      <c r="Y60" s="1"/>
      <c r="Z60" s="1"/>
      <c r="AA60" s="10"/>
      <c r="AB60" s="1" t="s">
        <v>155</v>
      </c>
      <c r="AC60" s="1" t="s">
        <v>156</v>
      </c>
      <c r="AD60" s="10">
        <v>921.25339762500005</v>
      </c>
      <c r="AE60" s="1" t="s">
        <v>25</v>
      </c>
    </row>
    <row r="61" spans="1:31" x14ac:dyDescent="0.2">
      <c r="A61" s="1" t="s">
        <v>157</v>
      </c>
      <c r="B61" s="2" t="s">
        <v>1408</v>
      </c>
      <c r="C61" s="3">
        <v>-14.814814814814801</v>
      </c>
      <c r="D61" s="2">
        <v>-1.972</v>
      </c>
      <c r="E61" s="2">
        <v>13.118577</v>
      </c>
      <c r="F61" s="4">
        <v>0.97</v>
      </c>
      <c r="G61" s="4">
        <v>8.2694502207516791</v>
      </c>
      <c r="H61" s="2" t="s">
        <v>1408</v>
      </c>
      <c r="I61" s="4" t="s">
        <v>1408</v>
      </c>
      <c r="J61" s="4">
        <v>37.8907892892191</v>
      </c>
      <c r="K61" s="4">
        <v>0.97414199999999995</v>
      </c>
      <c r="L61" s="4" t="s">
        <v>1408</v>
      </c>
      <c r="N61" s="5" t="s">
        <v>1408</v>
      </c>
      <c r="O61" s="5">
        <v>201818</v>
      </c>
      <c r="P61" s="6" t="e">
        <v>#VALUE!</v>
      </c>
      <c r="Q61" s="1"/>
      <c r="R61" s="7" t="e">
        <f ca="1">_xll.SNL.Clients.Office.Excel.Functions.SPG(A61, "SP_TOTAL_DEBT", "LTM")</f>
        <v>#NAME?</v>
      </c>
      <c r="S61" s="8" t="e">
        <f ca="1">_xll.SNL.Clients.Office.Excel.Functions.SPG(A61, "SP_DEBT_TO_EQUITY", "LTM")</f>
        <v>#NAME?</v>
      </c>
      <c r="U61" s="9" t="e">
        <f t="shared" ca="1" si="0"/>
        <v>#VALUE!</v>
      </c>
      <c r="Y61" s="1"/>
      <c r="Z61" s="1"/>
      <c r="AA61" s="10"/>
      <c r="AB61" s="1" t="s">
        <v>158</v>
      </c>
      <c r="AC61" s="1" t="s">
        <v>34</v>
      </c>
      <c r="AD61" s="10">
        <v>2562.79685032</v>
      </c>
      <c r="AE61" s="1" t="s">
        <v>25</v>
      </c>
    </row>
    <row r="62" spans="1:31" x14ac:dyDescent="0.2">
      <c r="A62" s="1" t="s">
        <v>159</v>
      </c>
      <c r="B62" s="2" t="s">
        <v>1408</v>
      </c>
      <c r="C62" s="3">
        <v>-22.883597883597901</v>
      </c>
      <c r="D62" s="2">
        <v>-11.186</v>
      </c>
      <c r="E62" s="2">
        <v>7.982456</v>
      </c>
      <c r="F62" s="4">
        <v>4.0979999999999999</v>
      </c>
      <c r="G62" s="4">
        <v>45.822456363405003</v>
      </c>
      <c r="H62" s="2">
        <v>15.503</v>
      </c>
      <c r="I62" s="4">
        <v>0.14199999999999999</v>
      </c>
      <c r="J62" s="4">
        <v>36.735522085637101</v>
      </c>
      <c r="K62" s="4">
        <v>1.2738659999999999</v>
      </c>
      <c r="L62" s="4" t="s">
        <v>1408</v>
      </c>
      <c r="N62" s="5" t="s">
        <v>1408</v>
      </c>
      <c r="O62" s="5">
        <v>99371</v>
      </c>
      <c r="P62" s="6" t="e">
        <v>#VALUE!</v>
      </c>
      <c r="Q62" s="1"/>
      <c r="R62" s="7" t="e">
        <f ca="1">_xll.SNL.Clients.Office.Excel.Functions.SPG(A62, "SP_TOTAL_DEBT", "LTM")</f>
        <v>#NAME?</v>
      </c>
      <c r="S62" s="8" t="e">
        <f ca="1">_xll.SNL.Clients.Office.Excel.Functions.SPG(A62, "SP_DEBT_TO_EQUITY", "LTM")</f>
        <v>#NAME?</v>
      </c>
      <c r="U62" s="9" t="e">
        <f t="shared" ca="1" si="0"/>
        <v>#VALUE!</v>
      </c>
      <c r="Y62" s="1"/>
      <c r="Z62" s="1"/>
      <c r="AA62" s="10"/>
      <c r="AB62" s="1" t="s">
        <v>160</v>
      </c>
      <c r="AC62" s="1" t="s">
        <v>161</v>
      </c>
      <c r="AD62" s="10">
        <v>508.25432548999999</v>
      </c>
      <c r="AE62" s="1" t="s">
        <v>25</v>
      </c>
    </row>
    <row r="63" spans="1:31" x14ac:dyDescent="0.2">
      <c r="A63" s="1" t="s">
        <v>162</v>
      </c>
      <c r="B63" s="2" t="s">
        <v>1408</v>
      </c>
      <c r="C63" s="3" t="s">
        <v>1408</v>
      </c>
      <c r="D63" s="2">
        <v>14.897</v>
      </c>
      <c r="E63" s="2">
        <v>9.6078430000000008</v>
      </c>
      <c r="F63" s="4">
        <v>6.09</v>
      </c>
      <c r="G63" s="4" t="s">
        <v>1408</v>
      </c>
      <c r="H63" s="2">
        <v>104.21</v>
      </c>
      <c r="I63" s="4">
        <v>7.2999999999999995E-2</v>
      </c>
      <c r="J63" s="4" t="s">
        <v>1408</v>
      </c>
      <c r="K63" s="4">
        <v>1.0050829999999999</v>
      </c>
      <c r="L63" s="4" t="s">
        <v>1408</v>
      </c>
      <c r="N63" s="5" t="s">
        <v>1408</v>
      </c>
      <c r="O63" s="5">
        <v>52866</v>
      </c>
      <c r="P63" s="6" t="e">
        <v>#VALUE!</v>
      </c>
      <c r="Q63" s="1"/>
      <c r="R63" s="7" t="e">
        <f ca="1">_xll.SNL.Clients.Office.Excel.Functions.SPG(A63, "SP_TOTAL_DEBT", "LTM")</f>
        <v>#NAME?</v>
      </c>
      <c r="S63" s="8" t="e">
        <f ca="1">_xll.SNL.Clients.Office.Excel.Functions.SPG(A63, "SP_DEBT_TO_EQUITY", "LTM")</f>
        <v>#NAME?</v>
      </c>
      <c r="U63" s="9" t="e">
        <f t="shared" ca="1" si="0"/>
        <v>#VALUE!</v>
      </c>
      <c r="Y63" s="1"/>
      <c r="Z63" s="1"/>
      <c r="AA63" s="10"/>
      <c r="AB63" s="1" t="s">
        <v>163</v>
      </c>
      <c r="AC63" s="1" t="s">
        <v>164</v>
      </c>
      <c r="AD63" s="10">
        <v>359.83675418009</v>
      </c>
      <c r="AE63" s="1" t="s">
        <v>25</v>
      </c>
    </row>
    <row r="64" spans="1:31" x14ac:dyDescent="0.2">
      <c r="A64" s="1" t="s">
        <v>165</v>
      </c>
      <c r="B64" s="2">
        <v>-6.2309999999999999</v>
      </c>
      <c r="C64" s="3" t="s">
        <v>1409</v>
      </c>
      <c r="D64" s="2">
        <v>27.35</v>
      </c>
      <c r="E64" s="2" t="s">
        <v>1409</v>
      </c>
      <c r="F64" s="4">
        <v>-2.15</v>
      </c>
      <c r="G64" s="4">
        <v>-14.699859781386699</v>
      </c>
      <c r="H64" s="2">
        <v>1.319</v>
      </c>
      <c r="I64" s="4">
        <v>0.18</v>
      </c>
      <c r="J64" s="4" t="s">
        <v>1408</v>
      </c>
      <c r="K64" s="4">
        <v>3.6232790000000001</v>
      </c>
      <c r="L64" s="4" t="s">
        <v>1409</v>
      </c>
      <c r="N64" s="5">
        <v>-2319.25</v>
      </c>
      <c r="O64" s="5">
        <v>-67881</v>
      </c>
      <c r="P64" s="6">
        <v>3.4166408862568318E-2</v>
      </c>
      <c r="Q64" s="1"/>
      <c r="R64" s="7" t="e">
        <f ca="1">_xll.SNL.Clients.Office.Excel.Functions.SPG(A64, "SP_TOTAL_DEBT", "LTM")</f>
        <v>#NAME?</v>
      </c>
      <c r="S64" s="8" t="e">
        <f ca="1">_xll.SNL.Clients.Office.Excel.Functions.SPG(A64, "SP_DEBT_TO_EQUITY", "LTM")</f>
        <v>#NAME?</v>
      </c>
      <c r="U64" s="9" t="e">
        <f t="shared" ca="1" si="0"/>
        <v>#NAME?</v>
      </c>
      <c r="Y64" s="1"/>
      <c r="Z64" s="1"/>
      <c r="AA64" s="10"/>
      <c r="AB64" s="1" t="s">
        <v>166</v>
      </c>
      <c r="AC64" s="1" t="s">
        <v>167</v>
      </c>
      <c r="AD64" s="10">
        <v>2226.4975096799999</v>
      </c>
      <c r="AE64" s="1" t="s">
        <v>25</v>
      </c>
    </row>
    <row r="65" spans="1:31" x14ac:dyDescent="0.2">
      <c r="A65" s="1" t="s">
        <v>168</v>
      </c>
      <c r="B65" s="2">
        <v>5.359</v>
      </c>
      <c r="C65" s="3">
        <v>78.6666666666666</v>
      </c>
      <c r="D65" s="2">
        <v>9.891</v>
      </c>
      <c r="E65" s="2">
        <v>14.485075</v>
      </c>
      <c r="F65" s="4">
        <v>1.1970000000000001</v>
      </c>
      <c r="G65" s="4">
        <v>7.5386742159188902</v>
      </c>
      <c r="H65" s="2">
        <v>0.629</v>
      </c>
      <c r="I65" s="4">
        <v>0.19500000000000001</v>
      </c>
      <c r="J65" s="4" t="s">
        <v>1408</v>
      </c>
      <c r="K65" s="4">
        <v>1.0536890000000001</v>
      </c>
      <c r="L65" s="4">
        <v>9.2258980000000008</v>
      </c>
      <c r="N65" s="5" t="s">
        <v>1408</v>
      </c>
      <c r="O65" s="5">
        <v>376292</v>
      </c>
      <c r="P65" s="6" t="e">
        <v>#VALUE!</v>
      </c>
      <c r="Q65" s="1"/>
      <c r="R65" s="7" t="e">
        <f ca="1">_xll.SNL.Clients.Office.Excel.Functions.SPG(A65, "SP_TOTAL_DEBT", "LTM")</f>
        <v>#NAME?</v>
      </c>
      <c r="S65" s="8" t="e">
        <f ca="1">_xll.SNL.Clients.Office.Excel.Functions.SPG(A65, "SP_DEBT_TO_EQUITY", "LTM")</f>
        <v>#NAME?</v>
      </c>
      <c r="U65" s="9" t="e">
        <f t="shared" ca="1" si="0"/>
        <v>#VALUE!</v>
      </c>
      <c r="Y65" s="1"/>
      <c r="Z65" s="1"/>
      <c r="AA65" s="10"/>
      <c r="AB65" s="1" t="s">
        <v>169</v>
      </c>
      <c r="AC65" s="1" t="s">
        <v>95</v>
      </c>
      <c r="AD65" s="10">
        <v>5073.58407936</v>
      </c>
      <c r="AE65" s="1" t="s">
        <v>25</v>
      </c>
    </row>
    <row r="66" spans="1:31" x14ac:dyDescent="0.2">
      <c r="A66" s="1" t="s">
        <v>170</v>
      </c>
      <c r="B66" s="2" t="s">
        <v>1408</v>
      </c>
      <c r="C66" s="3">
        <v>27.707808564231701</v>
      </c>
      <c r="D66" s="2">
        <v>25.19</v>
      </c>
      <c r="E66" s="2">
        <v>7.6186230000000004</v>
      </c>
      <c r="F66" s="4">
        <v>1.99</v>
      </c>
      <c r="G66" s="4">
        <v>17.217016296372702</v>
      </c>
      <c r="H66" s="2" t="s">
        <v>1408</v>
      </c>
      <c r="I66" s="4" t="s">
        <v>1408</v>
      </c>
      <c r="J66" s="4">
        <v>49.917170507565601</v>
      </c>
      <c r="K66" s="4">
        <v>1.4023270000000001</v>
      </c>
      <c r="L66" s="4" t="s">
        <v>1408</v>
      </c>
      <c r="N66" s="5" t="s">
        <v>1408</v>
      </c>
      <c r="O66" s="5">
        <v>401622</v>
      </c>
      <c r="P66" s="6" t="e">
        <v>#VALUE!</v>
      </c>
      <c r="Q66" s="1"/>
      <c r="R66" s="7" t="e">
        <f ca="1">_xll.SNL.Clients.Office.Excel.Functions.SPG(A66, "SP_TOTAL_DEBT", "LTM")</f>
        <v>#NAME?</v>
      </c>
      <c r="S66" s="8" t="e">
        <f ca="1">_xll.SNL.Clients.Office.Excel.Functions.SPG(A66, "SP_DEBT_TO_EQUITY", "LTM")</f>
        <v>#NAME?</v>
      </c>
      <c r="U66" s="9" t="e">
        <f t="shared" ca="1" si="0"/>
        <v>#VALUE!</v>
      </c>
      <c r="Y66" s="1"/>
      <c r="Z66" s="1"/>
      <c r="AA66" s="10"/>
      <c r="AB66" s="1" t="s">
        <v>171</v>
      </c>
      <c r="AC66" s="1" t="s">
        <v>34</v>
      </c>
      <c r="AD66" s="10">
        <v>3153.88989687</v>
      </c>
      <c r="AE66" s="1" t="s">
        <v>25</v>
      </c>
    </row>
    <row r="67" spans="1:31" x14ac:dyDescent="0.2">
      <c r="A67" s="1" t="s">
        <v>172</v>
      </c>
      <c r="B67" s="2" t="s">
        <v>1408</v>
      </c>
      <c r="C67" s="3" t="s">
        <v>1409</v>
      </c>
      <c r="D67" s="2">
        <v>-38.069000000000003</v>
      </c>
      <c r="E67" s="2" t="s">
        <v>1409</v>
      </c>
      <c r="F67" s="4">
        <v>-1.3260000000000001</v>
      </c>
      <c r="G67" s="4">
        <v>-25.810843442006199</v>
      </c>
      <c r="H67" s="2">
        <v>1.6479999999999999</v>
      </c>
      <c r="I67" s="4">
        <v>0.22900000000000001</v>
      </c>
      <c r="J67" s="4" t="s">
        <v>1408</v>
      </c>
      <c r="K67" s="4">
        <v>1.415373</v>
      </c>
      <c r="L67" s="4" t="s">
        <v>1408</v>
      </c>
      <c r="N67" s="5" t="s">
        <v>1408</v>
      </c>
      <c r="O67" s="5">
        <v>-79422</v>
      </c>
      <c r="P67" s="6" t="e">
        <v>#VALUE!</v>
      </c>
      <c r="Q67" s="1"/>
      <c r="R67" s="7" t="e">
        <f ca="1">_xll.SNL.Clients.Office.Excel.Functions.SPG(A67, "SP_TOTAL_DEBT", "LTM")</f>
        <v>#NAME?</v>
      </c>
      <c r="S67" s="8" t="e">
        <f ca="1">_xll.SNL.Clients.Office.Excel.Functions.SPG(A67, "SP_DEBT_TO_EQUITY", "LTM")</f>
        <v>#NAME?</v>
      </c>
      <c r="U67" s="9" t="e">
        <f t="shared" ref="U67:U130" ca="1" si="1">N67/R67</f>
        <v>#VALUE!</v>
      </c>
      <c r="Y67" s="1"/>
      <c r="Z67" s="1"/>
      <c r="AA67" s="10"/>
      <c r="AB67" s="1" t="s">
        <v>173</v>
      </c>
      <c r="AC67" s="1" t="s">
        <v>174</v>
      </c>
      <c r="AD67" s="10">
        <v>716.25083882000001</v>
      </c>
      <c r="AE67" s="1" t="s">
        <v>25</v>
      </c>
    </row>
    <row r="68" spans="1:31" x14ac:dyDescent="0.2">
      <c r="A68" s="1" t="s">
        <v>175</v>
      </c>
      <c r="B68" s="2">
        <v>10.029</v>
      </c>
      <c r="C68" s="3" t="s">
        <v>1408</v>
      </c>
      <c r="D68" s="2">
        <v>-1.6930000000000001</v>
      </c>
      <c r="E68" s="2" t="s">
        <v>1408</v>
      </c>
      <c r="F68" s="4">
        <v>7.07</v>
      </c>
      <c r="G68" s="4">
        <v>20.063528325811799</v>
      </c>
      <c r="H68" s="2">
        <v>1.464</v>
      </c>
      <c r="I68" s="4">
        <v>0.186</v>
      </c>
      <c r="J68" s="4">
        <v>61.537421319422698</v>
      </c>
      <c r="K68" s="4">
        <v>3.6909749999999999</v>
      </c>
      <c r="L68" s="4">
        <v>14.601395999999999</v>
      </c>
      <c r="N68" s="5">
        <v>2988621</v>
      </c>
      <c r="O68" s="5">
        <v>4220689</v>
      </c>
      <c r="P68" s="6">
        <v>0.70808841873921535</v>
      </c>
      <c r="Q68" s="1"/>
      <c r="R68" s="7" t="e">
        <f ca="1">_xll.SNL.Clients.Office.Excel.Functions.SPG(A68, "SP_TOTAL_DEBT", "LTM")</f>
        <v>#NAME?</v>
      </c>
      <c r="S68" s="8" t="e">
        <f ca="1">_xll.SNL.Clients.Office.Excel.Functions.SPG(A68, "SP_DEBT_TO_EQUITY", "LTM")</f>
        <v>#NAME?</v>
      </c>
      <c r="U68" s="9" t="e">
        <f t="shared" ca="1" si="1"/>
        <v>#NAME?</v>
      </c>
      <c r="Y68" s="1"/>
      <c r="Z68" s="1"/>
      <c r="AA68" s="10"/>
      <c r="AB68" s="1" t="s">
        <v>176</v>
      </c>
      <c r="AC68" s="1" t="s">
        <v>177</v>
      </c>
      <c r="AD68" s="10">
        <v>14999.682049950299</v>
      </c>
      <c r="AE68" s="1" t="s">
        <v>42</v>
      </c>
    </row>
    <row r="69" spans="1:31" x14ac:dyDescent="0.2">
      <c r="A69" s="1" t="s">
        <v>178</v>
      </c>
      <c r="B69" s="2" t="s">
        <v>1408</v>
      </c>
      <c r="C69" s="3" t="s">
        <v>1408</v>
      </c>
      <c r="D69" s="2">
        <v>11.69</v>
      </c>
      <c r="E69" s="2">
        <v>8.9694020000000005</v>
      </c>
      <c r="F69" s="4">
        <v>1.613</v>
      </c>
      <c r="G69" s="4">
        <v>12.7066382520803</v>
      </c>
      <c r="H69" s="2" t="s">
        <v>1408</v>
      </c>
      <c r="I69" s="4" t="s">
        <v>1408</v>
      </c>
      <c r="J69" s="4">
        <v>28.1251038230847</v>
      </c>
      <c r="K69" s="4">
        <v>0.71347499999999997</v>
      </c>
      <c r="L69" s="4" t="s">
        <v>1408</v>
      </c>
      <c r="N69" s="5" t="s">
        <v>1408</v>
      </c>
      <c r="O69" s="5">
        <v>517438</v>
      </c>
      <c r="P69" s="6" t="e">
        <v>#VALUE!</v>
      </c>
      <c r="Q69" s="1"/>
      <c r="R69" s="7" t="e">
        <f ca="1">_xll.SNL.Clients.Office.Excel.Functions.SPG(A69, "SP_TOTAL_DEBT", "LTM")</f>
        <v>#NAME?</v>
      </c>
      <c r="S69" s="8" t="e">
        <f ca="1">_xll.SNL.Clients.Office.Excel.Functions.SPG(A69, "SP_DEBT_TO_EQUITY", "LTM")</f>
        <v>#NAME?</v>
      </c>
      <c r="U69" s="9" t="e">
        <f t="shared" ca="1" si="1"/>
        <v>#VALUE!</v>
      </c>
      <c r="Y69" s="1"/>
      <c r="Z69" s="1"/>
      <c r="AA69" s="10"/>
      <c r="AB69" s="1" t="s">
        <v>179</v>
      </c>
      <c r="AC69" s="1" t="s">
        <v>34</v>
      </c>
      <c r="AD69" s="10">
        <v>2790.7473280067402</v>
      </c>
      <c r="AE69" s="1" t="s">
        <v>42</v>
      </c>
    </row>
    <row r="70" spans="1:31" x14ac:dyDescent="0.2">
      <c r="A70" s="1" t="s">
        <v>180</v>
      </c>
      <c r="B70" s="2" t="s">
        <v>1408</v>
      </c>
      <c r="C70" s="3" t="s">
        <v>1409</v>
      </c>
      <c r="D70" s="2">
        <v>-81.593999999999994</v>
      </c>
      <c r="E70" s="2" t="s">
        <v>1409</v>
      </c>
      <c r="F70" s="4">
        <v>-4.7619999999999996</v>
      </c>
      <c r="G70" s="4">
        <v>-63.422363135797603</v>
      </c>
      <c r="H70" s="2" t="s">
        <v>1408</v>
      </c>
      <c r="I70" s="4" t="s">
        <v>1408</v>
      </c>
      <c r="J70" s="4" t="s">
        <v>1409</v>
      </c>
      <c r="K70" s="4">
        <v>0.755301</v>
      </c>
      <c r="L70" s="4" t="s">
        <v>1408</v>
      </c>
      <c r="N70" s="5" t="s">
        <v>1408</v>
      </c>
      <c r="O70" s="5">
        <v>-1899137</v>
      </c>
      <c r="P70" s="6" t="e">
        <v>#VALUE!</v>
      </c>
      <c r="Q70" s="1"/>
      <c r="R70" s="7" t="e">
        <f ca="1">_xll.SNL.Clients.Office.Excel.Functions.SPG(A70, "SP_TOTAL_DEBT", "LTM")</f>
        <v>#NAME?</v>
      </c>
      <c r="S70" s="8" t="e">
        <f ca="1">_xll.SNL.Clients.Office.Excel.Functions.SPG(A70, "SP_DEBT_TO_EQUITY", "LTM")</f>
        <v>#NAME?</v>
      </c>
      <c r="U70" s="9" t="e">
        <f t="shared" ca="1" si="1"/>
        <v>#VALUE!</v>
      </c>
      <c r="Y70" s="1"/>
      <c r="Z70" s="1"/>
      <c r="AA70" s="10"/>
      <c r="AB70" s="1" t="s">
        <v>181</v>
      </c>
      <c r="AC70" s="1" t="s">
        <v>34</v>
      </c>
      <c r="AD70" s="10">
        <v>2328.1534889599998</v>
      </c>
      <c r="AE70" s="1" t="s">
        <v>25</v>
      </c>
    </row>
    <row r="71" spans="1:31" x14ac:dyDescent="0.2">
      <c r="A71" s="1" t="s">
        <v>182</v>
      </c>
      <c r="B71" s="2" t="s">
        <v>1408</v>
      </c>
      <c r="C71" s="3">
        <v>9.8786828422877004</v>
      </c>
      <c r="D71" s="2">
        <v>10.06</v>
      </c>
      <c r="E71" s="2">
        <v>13.623028</v>
      </c>
      <c r="F71" s="4" t="s">
        <v>1408</v>
      </c>
      <c r="G71" s="4">
        <v>15.887134161843701</v>
      </c>
      <c r="H71" s="2" t="s">
        <v>1408</v>
      </c>
      <c r="I71" s="4" t="s">
        <v>1408</v>
      </c>
      <c r="J71" s="4">
        <v>44.430203435716003</v>
      </c>
      <c r="K71" s="4">
        <v>2.0746060000000002</v>
      </c>
      <c r="L71" s="4" t="s">
        <v>1408</v>
      </c>
      <c r="N71" s="5" t="s">
        <v>1408</v>
      </c>
      <c r="O71" s="5">
        <v>212465</v>
      </c>
      <c r="P71" s="6" t="e">
        <v>#VALUE!</v>
      </c>
      <c r="Q71" s="1"/>
      <c r="R71" s="7" t="e">
        <f ca="1">_xll.SNL.Clients.Office.Excel.Functions.SPG(A71, "SP_TOTAL_DEBT", "LTM")</f>
        <v>#NAME?</v>
      </c>
      <c r="S71" s="8" t="e">
        <f ca="1">_xll.SNL.Clients.Office.Excel.Functions.SPG(A71, "SP_DEBT_TO_EQUITY", "LTM")</f>
        <v>#NAME?</v>
      </c>
      <c r="U71" s="9" t="e">
        <f t="shared" ca="1" si="1"/>
        <v>#VALUE!</v>
      </c>
      <c r="Y71" s="1"/>
      <c r="Z71" s="1"/>
      <c r="AA71" s="10"/>
      <c r="AB71" s="1" t="s">
        <v>183</v>
      </c>
      <c r="AC71" s="1" t="s">
        <v>34</v>
      </c>
      <c r="AD71" s="10">
        <v>2914.9014231800002</v>
      </c>
      <c r="AE71" s="1" t="s">
        <v>25</v>
      </c>
    </row>
    <row r="72" spans="1:31" x14ac:dyDescent="0.2">
      <c r="A72" s="1" t="s">
        <v>184</v>
      </c>
      <c r="B72" s="2" t="s">
        <v>1408</v>
      </c>
      <c r="C72" s="3">
        <v>40.270153761136797</v>
      </c>
      <c r="D72" s="2">
        <v>43.453000000000003</v>
      </c>
      <c r="E72" s="2" t="s">
        <v>1408</v>
      </c>
      <c r="F72" s="4" t="s">
        <v>1408</v>
      </c>
      <c r="G72" s="4">
        <v>15.9229031265053</v>
      </c>
      <c r="H72" s="2" t="s">
        <v>1408</v>
      </c>
      <c r="I72" s="4" t="s">
        <v>1408</v>
      </c>
      <c r="J72" s="4" t="s">
        <v>1408</v>
      </c>
      <c r="K72" s="4" t="s">
        <v>1408</v>
      </c>
      <c r="L72" s="4" t="s">
        <v>1408</v>
      </c>
      <c r="N72" s="5" t="s">
        <v>1408</v>
      </c>
      <c r="O72" s="5" t="s">
        <v>1408</v>
      </c>
      <c r="P72" s="6" t="e">
        <v>#VALUE!</v>
      </c>
      <c r="Q72" s="1"/>
      <c r="R72" s="7" t="e">
        <f ca="1">_xll.SNL.Clients.Office.Excel.Functions.SPG(A72, "SP_TOTAL_DEBT", "LTM")</f>
        <v>#NAME?</v>
      </c>
      <c r="S72" s="8" t="e">
        <f ca="1">_xll.SNL.Clients.Office.Excel.Functions.SPG(A72, "SP_DEBT_TO_EQUITY", "LTM")</f>
        <v>#NAME?</v>
      </c>
      <c r="U72" s="9" t="e">
        <f t="shared" ca="1" si="1"/>
        <v>#VALUE!</v>
      </c>
      <c r="Y72" s="1"/>
      <c r="Z72" s="1"/>
      <c r="AA72" s="10"/>
      <c r="AB72" s="1" t="s">
        <v>185</v>
      </c>
      <c r="AC72" s="1" t="s">
        <v>34</v>
      </c>
      <c r="AD72" s="10">
        <v>1071.01243179377</v>
      </c>
      <c r="AE72" s="1" t="s">
        <v>42</v>
      </c>
    </row>
    <row r="73" spans="1:31" x14ac:dyDescent="0.2">
      <c r="A73" s="1" t="s">
        <v>186</v>
      </c>
      <c r="B73" s="2" t="s">
        <v>1408</v>
      </c>
      <c r="C73" s="3">
        <v>189.55893115143201</v>
      </c>
      <c r="D73" s="2">
        <v>34.661000000000001</v>
      </c>
      <c r="E73" s="2">
        <v>29.963224</v>
      </c>
      <c r="F73" s="4">
        <v>1.8560000000000001</v>
      </c>
      <c r="G73" s="4">
        <v>21.890629908392899</v>
      </c>
      <c r="H73" s="2" t="s">
        <v>1408</v>
      </c>
      <c r="I73" s="4" t="s">
        <v>1408</v>
      </c>
      <c r="J73" s="4">
        <v>23.6272696008411</v>
      </c>
      <c r="K73" s="4">
        <v>1.9822230000000001</v>
      </c>
      <c r="L73" s="4" t="s">
        <v>1408</v>
      </c>
      <c r="N73" s="5" t="s">
        <v>1408</v>
      </c>
      <c r="O73" s="5">
        <v>95173312</v>
      </c>
      <c r="P73" s="6" t="e">
        <v>#VALUE!</v>
      </c>
      <c r="Q73" s="1"/>
      <c r="R73" s="7" t="e">
        <f ca="1">_xll.SNL.Clients.Office.Excel.Functions.SPG(A73, "SP_TOTAL_DEBT", "LTM")</f>
        <v>#NAME?</v>
      </c>
      <c r="S73" s="8" t="e">
        <f ca="1">_xll.SNL.Clients.Office.Excel.Functions.SPG(A73, "SP_DEBT_TO_EQUITY", "LTM")</f>
        <v>#NAME?</v>
      </c>
      <c r="U73" s="9" t="e">
        <f t="shared" ca="1" si="1"/>
        <v>#VALUE!</v>
      </c>
      <c r="Y73" s="1"/>
      <c r="Z73" s="1"/>
      <c r="AA73" s="10"/>
      <c r="AB73" s="1" t="s">
        <v>187</v>
      </c>
      <c r="AC73" s="1" t="s">
        <v>34</v>
      </c>
      <c r="AD73" s="10">
        <v>1927.2281080945199</v>
      </c>
      <c r="AE73" s="1" t="s">
        <v>42</v>
      </c>
    </row>
    <row r="74" spans="1:31" x14ac:dyDescent="0.2">
      <c r="A74" s="1" t="s">
        <v>188</v>
      </c>
      <c r="B74" s="2" t="s">
        <v>1408</v>
      </c>
      <c r="C74" s="3">
        <v>23.150497551399699</v>
      </c>
      <c r="D74" s="2">
        <v>16.042999999999999</v>
      </c>
      <c r="E74" s="2">
        <v>5.4024039999999998</v>
      </c>
      <c r="F74" s="4">
        <v>1.8680000000000001</v>
      </c>
      <c r="G74" s="4">
        <v>18.497603835182399</v>
      </c>
      <c r="H74" s="2" t="s">
        <v>1408</v>
      </c>
      <c r="I74" s="4" t="s">
        <v>1408</v>
      </c>
      <c r="J74" s="4">
        <v>37.480364862659101</v>
      </c>
      <c r="K74" s="4">
        <v>1.1095889999999999</v>
      </c>
      <c r="L74" s="4" t="s">
        <v>1408</v>
      </c>
      <c r="N74" s="5" t="s">
        <v>1408</v>
      </c>
      <c r="O74" s="5">
        <v>1913760</v>
      </c>
      <c r="P74" s="6" t="e">
        <v>#VALUE!</v>
      </c>
      <c r="Q74" s="1"/>
      <c r="R74" s="7" t="e">
        <f ca="1">_xll.SNL.Clients.Office.Excel.Functions.SPG(A74, "SP_TOTAL_DEBT", "LTM")</f>
        <v>#NAME?</v>
      </c>
      <c r="S74" s="8" t="e">
        <f ca="1">_xll.SNL.Clients.Office.Excel.Functions.SPG(A74, "SP_DEBT_TO_EQUITY", "LTM")</f>
        <v>#NAME?</v>
      </c>
      <c r="U74" s="9" t="e">
        <f t="shared" ca="1" si="1"/>
        <v>#VALUE!</v>
      </c>
      <c r="Y74" s="1"/>
      <c r="Z74" s="1"/>
      <c r="AA74" s="10"/>
      <c r="AB74" s="1" t="s">
        <v>189</v>
      </c>
      <c r="AC74" s="1" t="s">
        <v>34</v>
      </c>
      <c r="AD74" s="10">
        <v>3449.30294220311</v>
      </c>
      <c r="AE74" s="1" t="s">
        <v>42</v>
      </c>
    </row>
    <row r="75" spans="1:31" x14ac:dyDescent="0.2">
      <c r="A75" s="1" t="s">
        <v>190</v>
      </c>
      <c r="B75" s="2" t="s">
        <v>1408</v>
      </c>
      <c r="C75" s="3">
        <v>15.2807103197422</v>
      </c>
      <c r="D75" s="2">
        <v>-1.1040000000000001</v>
      </c>
      <c r="E75" s="2">
        <v>11.247248000000001</v>
      </c>
      <c r="F75" s="4">
        <v>0.30599999999999999</v>
      </c>
      <c r="G75" s="4">
        <v>16.3137470546984</v>
      </c>
      <c r="H75" s="2" t="s">
        <v>1408</v>
      </c>
      <c r="I75" s="4" t="s">
        <v>1408</v>
      </c>
      <c r="J75" s="4">
        <v>9.5794442173999297</v>
      </c>
      <c r="K75" s="4">
        <v>0.459505</v>
      </c>
      <c r="L75" s="4" t="s">
        <v>1408</v>
      </c>
      <c r="N75" s="5" t="s">
        <v>1408</v>
      </c>
      <c r="O75" s="5">
        <v>307920</v>
      </c>
      <c r="P75" s="6" t="e">
        <v>#VALUE!</v>
      </c>
      <c r="Q75" s="1"/>
      <c r="R75" s="7" t="e">
        <f ca="1">_xll.SNL.Clients.Office.Excel.Functions.SPG(A75, "SP_TOTAL_DEBT", "LTM")</f>
        <v>#NAME?</v>
      </c>
      <c r="S75" s="8" t="e">
        <f ca="1">_xll.SNL.Clients.Office.Excel.Functions.SPG(A75, "SP_DEBT_TO_EQUITY", "LTM")</f>
        <v>#NAME?</v>
      </c>
      <c r="U75" s="9" t="e">
        <f t="shared" ca="1" si="1"/>
        <v>#VALUE!</v>
      </c>
      <c r="Y75" s="1"/>
      <c r="Z75" s="1"/>
      <c r="AA75" s="10"/>
      <c r="AB75" s="1" t="s">
        <v>191</v>
      </c>
      <c r="AC75" s="1" t="s">
        <v>34</v>
      </c>
      <c r="AD75" s="10">
        <v>877.004576510898</v>
      </c>
      <c r="AE75" s="1" t="s">
        <v>42</v>
      </c>
    </row>
    <row r="76" spans="1:31" x14ac:dyDescent="0.2">
      <c r="A76" s="1" t="s">
        <v>192</v>
      </c>
      <c r="B76" s="2" t="s">
        <v>1408</v>
      </c>
      <c r="C76" s="3">
        <v>-64.420984602903403</v>
      </c>
      <c r="D76" s="2">
        <v>1.429</v>
      </c>
      <c r="E76" s="2" t="s">
        <v>1408</v>
      </c>
      <c r="F76" s="4">
        <v>0.65100000000000002</v>
      </c>
      <c r="G76" s="4">
        <v>1.6433179620656999</v>
      </c>
      <c r="H76" s="2" t="s">
        <v>1408</v>
      </c>
      <c r="I76" s="4" t="s">
        <v>1408</v>
      </c>
      <c r="J76" s="4">
        <v>-2.0358098931464101</v>
      </c>
      <c r="K76" s="4">
        <v>0.51856999999999998</v>
      </c>
      <c r="L76" s="4" t="s">
        <v>1408</v>
      </c>
      <c r="N76" s="5" t="s">
        <v>1408</v>
      </c>
      <c r="O76" s="5">
        <v>287230</v>
      </c>
      <c r="P76" s="6" t="e">
        <v>#VALUE!</v>
      </c>
      <c r="Q76" s="1"/>
      <c r="R76" s="7" t="e">
        <f ca="1">_xll.SNL.Clients.Office.Excel.Functions.SPG(A76, "SP_TOTAL_DEBT", "LTM")</f>
        <v>#NAME?</v>
      </c>
      <c r="S76" s="8" t="e">
        <f ca="1">_xll.SNL.Clients.Office.Excel.Functions.SPG(A76, "SP_DEBT_TO_EQUITY", "LTM")</f>
        <v>#NAME?</v>
      </c>
      <c r="U76" s="9" t="e">
        <f t="shared" ca="1" si="1"/>
        <v>#VALUE!</v>
      </c>
      <c r="Y76" s="1"/>
      <c r="Z76" s="1"/>
      <c r="AA76" s="10"/>
      <c r="AB76" s="1" t="s">
        <v>193</v>
      </c>
      <c r="AC76" s="1" t="s">
        <v>34</v>
      </c>
      <c r="AD76" s="10">
        <v>395.85399548061503</v>
      </c>
      <c r="AE76" s="1" t="s">
        <v>42</v>
      </c>
    </row>
    <row r="77" spans="1:31" x14ac:dyDescent="0.2">
      <c r="A77" s="1" t="s">
        <v>194</v>
      </c>
      <c r="B77" s="2" t="s">
        <v>1408</v>
      </c>
      <c r="C77" s="3" t="s">
        <v>1408</v>
      </c>
      <c r="D77" s="2">
        <v>16.739000000000001</v>
      </c>
      <c r="E77" s="2">
        <v>5.0761419999999999</v>
      </c>
      <c r="F77" s="4" t="s">
        <v>1408</v>
      </c>
      <c r="G77" s="4">
        <v>13.9510307736287</v>
      </c>
      <c r="H77" s="2" t="s">
        <v>1408</v>
      </c>
      <c r="I77" s="4" t="s">
        <v>1408</v>
      </c>
      <c r="J77" s="4" t="s">
        <v>1408</v>
      </c>
      <c r="K77" s="4">
        <v>0.70110700000000004</v>
      </c>
      <c r="L77" s="4" t="s">
        <v>1408</v>
      </c>
      <c r="N77" s="5" t="s">
        <v>1408</v>
      </c>
      <c r="O77" s="5">
        <v>65579</v>
      </c>
      <c r="P77" s="6" t="e">
        <v>#VALUE!</v>
      </c>
      <c r="Q77" s="1"/>
      <c r="R77" s="7" t="e">
        <f ca="1">_xll.SNL.Clients.Office.Excel.Functions.SPG(A77, "SP_TOTAL_DEBT", "LTM")</f>
        <v>#NAME?</v>
      </c>
      <c r="S77" s="8" t="e">
        <f ca="1">_xll.SNL.Clients.Office.Excel.Functions.SPG(A77, "SP_DEBT_TO_EQUITY", "LTM")</f>
        <v>#NAME?</v>
      </c>
      <c r="U77" s="9" t="e">
        <f t="shared" ca="1" si="1"/>
        <v>#VALUE!</v>
      </c>
      <c r="Y77" s="1"/>
      <c r="Z77" s="1"/>
      <c r="AA77" s="10"/>
      <c r="AB77" s="1" t="s">
        <v>195</v>
      </c>
      <c r="AC77" s="1" t="s">
        <v>34</v>
      </c>
      <c r="AD77" s="10">
        <v>325</v>
      </c>
      <c r="AE77" s="1" t="s">
        <v>42</v>
      </c>
    </row>
    <row r="78" spans="1:31" x14ac:dyDescent="0.2">
      <c r="A78" s="1" t="s">
        <v>196</v>
      </c>
      <c r="B78" s="2" t="s">
        <v>1408</v>
      </c>
      <c r="C78" s="3" t="s">
        <v>1408</v>
      </c>
      <c r="D78" s="2">
        <v>-20.635000000000002</v>
      </c>
      <c r="E78" s="2" t="s">
        <v>1408</v>
      </c>
      <c r="F78" s="4">
        <v>0.77800000000000002</v>
      </c>
      <c r="G78" s="4">
        <v>8.7912886937500598</v>
      </c>
      <c r="H78" s="2" t="s">
        <v>1408</v>
      </c>
      <c r="I78" s="4" t="s">
        <v>1408</v>
      </c>
      <c r="J78" s="4" t="s">
        <v>1408</v>
      </c>
      <c r="K78" s="4">
        <v>1.06274</v>
      </c>
      <c r="L78" s="4" t="s">
        <v>1408</v>
      </c>
      <c r="N78" s="5" t="s">
        <v>1408</v>
      </c>
      <c r="O78" s="5">
        <v>14502765</v>
      </c>
      <c r="P78" s="6" t="e">
        <v>#VALUE!</v>
      </c>
      <c r="Q78" s="1"/>
      <c r="R78" s="7" t="e">
        <f ca="1">_xll.SNL.Clients.Office.Excel.Functions.SPG(A78, "SP_TOTAL_DEBT", "LTM")</f>
        <v>#NAME?</v>
      </c>
      <c r="S78" s="8" t="e">
        <f ca="1">_xll.SNL.Clients.Office.Excel.Functions.SPG(A78, "SP_DEBT_TO_EQUITY", "LTM")</f>
        <v>#NAME?</v>
      </c>
      <c r="U78" s="9" t="e">
        <f t="shared" ca="1" si="1"/>
        <v>#VALUE!</v>
      </c>
      <c r="Y78" s="1"/>
      <c r="Z78" s="1"/>
      <c r="AA78" s="10"/>
      <c r="AB78" s="1" t="s">
        <v>197</v>
      </c>
      <c r="AC78" s="1" t="s">
        <v>34</v>
      </c>
      <c r="AD78" s="10">
        <v>31302.455096473699</v>
      </c>
      <c r="AE78" s="1" t="s">
        <v>42</v>
      </c>
    </row>
    <row r="79" spans="1:31" x14ac:dyDescent="0.2">
      <c r="A79" s="1" t="s">
        <v>198</v>
      </c>
      <c r="B79" s="2" t="s">
        <v>1408</v>
      </c>
      <c r="C79" s="3" t="s">
        <v>1408</v>
      </c>
      <c r="D79" s="2">
        <v>16.832000000000001</v>
      </c>
      <c r="E79" s="2" t="s">
        <v>1408</v>
      </c>
      <c r="F79" s="4">
        <v>2.1880000000000002</v>
      </c>
      <c r="G79" s="4" t="s">
        <v>1408</v>
      </c>
      <c r="H79" s="2" t="s">
        <v>1408</v>
      </c>
      <c r="I79" s="4" t="s">
        <v>1408</v>
      </c>
      <c r="J79" s="4" t="s">
        <v>1408</v>
      </c>
      <c r="K79" s="4">
        <v>3.9756480000000001</v>
      </c>
      <c r="L79" s="4" t="s">
        <v>1408</v>
      </c>
      <c r="N79" s="5" t="s">
        <v>1408</v>
      </c>
      <c r="O79" s="5">
        <v>10326205</v>
      </c>
      <c r="P79" s="6" t="e">
        <v>#VALUE!</v>
      </c>
      <c r="Q79" s="1"/>
      <c r="R79" s="7" t="e">
        <f ca="1">_xll.SNL.Clients.Office.Excel.Functions.SPG(A79, "SP_TOTAL_DEBT", "LTM")</f>
        <v>#NAME?</v>
      </c>
      <c r="S79" s="8" t="e">
        <f ca="1">_xll.SNL.Clients.Office.Excel.Functions.SPG(A79, "SP_DEBT_TO_EQUITY", "LTM")</f>
        <v>#NAME?</v>
      </c>
      <c r="U79" s="9" t="e">
        <f t="shared" ca="1" si="1"/>
        <v>#VALUE!</v>
      </c>
      <c r="Y79" s="1"/>
      <c r="Z79" s="1"/>
      <c r="AA79" s="10"/>
      <c r="AB79" s="1" t="s">
        <v>199</v>
      </c>
      <c r="AC79" s="1" t="s">
        <v>174</v>
      </c>
      <c r="AD79" s="10">
        <v>34798.6518007255</v>
      </c>
      <c r="AE79" s="1" t="s">
        <v>42</v>
      </c>
    </row>
    <row r="80" spans="1:31" x14ac:dyDescent="0.2">
      <c r="A80" s="1" t="s">
        <v>200</v>
      </c>
      <c r="B80" s="2" t="s">
        <v>1408</v>
      </c>
      <c r="C80" s="3">
        <v>20.290842772269599</v>
      </c>
      <c r="D80" s="2">
        <v>47.302</v>
      </c>
      <c r="E80" s="2" t="s">
        <v>1408</v>
      </c>
      <c r="F80" s="4">
        <v>3.1150000000000002</v>
      </c>
      <c r="G80" s="4">
        <v>27.264912225988201</v>
      </c>
      <c r="H80" s="2" t="s">
        <v>1408</v>
      </c>
      <c r="I80" s="4" t="s">
        <v>1408</v>
      </c>
      <c r="J80" s="4">
        <v>38.897871462407302</v>
      </c>
      <c r="K80" s="4">
        <v>0.86813899999999999</v>
      </c>
      <c r="L80" s="4" t="s">
        <v>1408</v>
      </c>
      <c r="N80" s="5" t="s">
        <v>1408</v>
      </c>
      <c r="O80" s="5">
        <v>1194748</v>
      </c>
      <c r="P80" s="6" t="e">
        <v>#VALUE!</v>
      </c>
      <c r="Q80" s="1"/>
      <c r="R80" s="7" t="e">
        <f ca="1">_xll.SNL.Clients.Office.Excel.Functions.SPG(A80, "SP_TOTAL_DEBT", "LTM")</f>
        <v>#NAME?</v>
      </c>
      <c r="S80" s="8" t="e">
        <f ca="1">_xll.SNL.Clients.Office.Excel.Functions.SPG(A80, "SP_DEBT_TO_EQUITY", "LTM")</f>
        <v>#NAME?</v>
      </c>
      <c r="U80" s="9" t="e">
        <f t="shared" ca="1" si="1"/>
        <v>#VALUE!</v>
      </c>
      <c r="Y80" s="1"/>
      <c r="Z80" s="1"/>
      <c r="AA80" s="10"/>
      <c r="AB80" s="1" t="s">
        <v>201</v>
      </c>
      <c r="AC80" s="1" t="s">
        <v>34</v>
      </c>
      <c r="AD80" s="10">
        <v>1026.9158934094</v>
      </c>
      <c r="AE80" s="1" t="s">
        <v>42</v>
      </c>
    </row>
    <row r="81" spans="1:31" x14ac:dyDescent="0.2">
      <c r="A81" s="1" t="s">
        <v>202</v>
      </c>
      <c r="B81" s="2" t="s">
        <v>1408</v>
      </c>
      <c r="C81" s="3">
        <v>28.561825599743901</v>
      </c>
      <c r="D81" s="2">
        <v>23.896000000000001</v>
      </c>
      <c r="E81" s="2" t="s">
        <v>1409</v>
      </c>
      <c r="F81" s="4">
        <v>-0.03</v>
      </c>
      <c r="G81" s="4">
        <v>10.778007001641001</v>
      </c>
      <c r="H81" s="2" t="s">
        <v>1408</v>
      </c>
      <c r="I81" s="4" t="s">
        <v>1408</v>
      </c>
      <c r="J81" s="4">
        <v>-3.8748812489116302</v>
      </c>
      <c r="K81" s="4">
        <v>0.59570800000000002</v>
      </c>
      <c r="L81" s="4" t="s">
        <v>1408</v>
      </c>
      <c r="N81" s="5" t="s">
        <v>1408</v>
      </c>
      <c r="O81" s="5">
        <v>-54076</v>
      </c>
      <c r="P81" s="6" t="e">
        <v>#VALUE!</v>
      </c>
      <c r="Q81" s="1"/>
      <c r="R81" s="7" t="e">
        <f ca="1">_xll.SNL.Clients.Office.Excel.Functions.SPG(A81, "SP_TOTAL_DEBT", "LTM")</f>
        <v>#NAME?</v>
      </c>
      <c r="S81" s="8" t="e">
        <f ca="1">_xll.SNL.Clients.Office.Excel.Functions.SPG(A81, "SP_DEBT_TO_EQUITY", "LTM")</f>
        <v>#NAME?</v>
      </c>
      <c r="U81" s="9" t="e">
        <f t="shared" ca="1" si="1"/>
        <v>#VALUE!</v>
      </c>
      <c r="Y81" s="1"/>
      <c r="Z81" s="1"/>
      <c r="AA81" s="10"/>
      <c r="AB81" s="1" t="s">
        <v>203</v>
      </c>
      <c r="AC81" s="1" t="s">
        <v>34</v>
      </c>
      <c r="AD81" s="10">
        <v>2519.9109867235002</v>
      </c>
      <c r="AE81" s="1" t="s">
        <v>42</v>
      </c>
    </row>
    <row r="82" spans="1:31" x14ac:dyDescent="0.2">
      <c r="A82" s="1" t="s">
        <v>204</v>
      </c>
      <c r="B82" s="2" t="s">
        <v>1408</v>
      </c>
      <c r="C82" s="3">
        <v>26.166318841553601</v>
      </c>
      <c r="D82" s="2">
        <v>-6.4690000000000003</v>
      </c>
      <c r="E82" s="2">
        <v>30.955919000000002</v>
      </c>
      <c r="F82" s="4">
        <v>0.80700000000000005</v>
      </c>
      <c r="G82" s="4">
        <v>16.504321923377201</v>
      </c>
      <c r="H82" s="2" t="s">
        <v>1408</v>
      </c>
      <c r="I82" s="4" t="s">
        <v>1408</v>
      </c>
      <c r="J82" s="4">
        <v>21.040377000725002</v>
      </c>
      <c r="K82" s="4">
        <v>0.709781</v>
      </c>
      <c r="L82" s="4" t="s">
        <v>1408</v>
      </c>
      <c r="N82" s="5" t="s">
        <v>1408</v>
      </c>
      <c r="O82" s="5">
        <v>368700</v>
      </c>
      <c r="P82" s="6" t="e">
        <v>#VALUE!</v>
      </c>
      <c r="Q82" s="1"/>
      <c r="R82" s="7" t="e">
        <f ca="1">_xll.SNL.Clients.Office.Excel.Functions.SPG(A82, "SP_TOTAL_DEBT", "LTM")</f>
        <v>#NAME?</v>
      </c>
      <c r="S82" s="8" t="e">
        <f ca="1">_xll.SNL.Clients.Office.Excel.Functions.SPG(A82, "SP_DEBT_TO_EQUITY", "LTM")</f>
        <v>#NAME?</v>
      </c>
      <c r="U82" s="9" t="e">
        <f t="shared" ca="1" si="1"/>
        <v>#VALUE!</v>
      </c>
      <c r="Y82" s="1"/>
      <c r="Z82" s="1"/>
      <c r="AA82" s="10"/>
      <c r="AB82" s="1" t="s">
        <v>205</v>
      </c>
      <c r="AC82" s="1" t="s">
        <v>34</v>
      </c>
      <c r="AD82" s="10">
        <v>2883.2075857281402</v>
      </c>
      <c r="AE82" s="1" t="s">
        <v>42</v>
      </c>
    </row>
    <row r="83" spans="1:31" x14ac:dyDescent="0.2">
      <c r="A83" s="1" t="s">
        <v>206</v>
      </c>
      <c r="B83" s="2" t="s">
        <v>1408</v>
      </c>
      <c r="C83" s="3">
        <v>-11.763526664866699</v>
      </c>
      <c r="D83" s="2">
        <v>-1.6659999999999999</v>
      </c>
      <c r="E83" s="2" t="s">
        <v>1408</v>
      </c>
      <c r="F83" s="4">
        <v>2.2400000000000002</v>
      </c>
      <c r="G83" s="4">
        <v>25.317376940317398</v>
      </c>
      <c r="H83" s="2" t="s">
        <v>1408</v>
      </c>
      <c r="I83" s="4" t="s">
        <v>1408</v>
      </c>
      <c r="J83" s="4">
        <v>50.630038741844302</v>
      </c>
      <c r="K83" s="4">
        <v>2.0975579999999998</v>
      </c>
      <c r="L83" s="4" t="s">
        <v>1408</v>
      </c>
      <c r="N83" s="5" t="s">
        <v>1408</v>
      </c>
      <c r="O83" s="5">
        <v>1243635</v>
      </c>
      <c r="P83" s="6" t="e">
        <v>#VALUE!</v>
      </c>
      <c r="Q83" s="1"/>
      <c r="R83" s="7" t="e">
        <f ca="1">_xll.SNL.Clients.Office.Excel.Functions.SPG(A83, "SP_TOTAL_DEBT", "LTM")</f>
        <v>#NAME?</v>
      </c>
      <c r="S83" s="8" t="e">
        <f ca="1">_xll.SNL.Clients.Office.Excel.Functions.SPG(A83, "SP_DEBT_TO_EQUITY", "LTM")</f>
        <v>#NAME?</v>
      </c>
      <c r="U83" s="9" t="e">
        <f t="shared" ca="1" si="1"/>
        <v>#VALUE!</v>
      </c>
      <c r="Y83" s="1"/>
      <c r="Z83" s="1"/>
      <c r="AA83" s="10"/>
      <c r="AB83" s="1" t="s">
        <v>207</v>
      </c>
      <c r="AC83" s="1" t="s">
        <v>34</v>
      </c>
      <c r="AD83" s="10">
        <v>11294.178336319599</v>
      </c>
      <c r="AE83" s="1" t="s">
        <v>42</v>
      </c>
    </row>
    <row r="84" spans="1:31" x14ac:dyDescent="0.2">
      <c r="A84" s="1" t="s">
        <v>208</v>
      </c>
      <c r="B84" s="2" t="s">
        <v>1408</v>
      </c>
      <c r="C84" s="3">
        <v>47.571678844592597</v>
      </c>
      <c r="D84" s="2">
        <v>1.9810000000000001</v>
      </c>
      <c r="E84" s="2">
        <v>7.5633140000000001</v>
      </c>
      <c r="F84" s="4">
        <v>2.4380000000000002</v>
      </c>
      <c r="G84" s="4">
        <v>21.539132734653101</v>
      </c>
      <c r="H84" s="2" t="s">
        <v>1408</v>
      </c>
      <c r="I84" s="4" t="s">
        <v>1408</v>
      </c>
      <c r="J84" s="4" t="s">
        <v>1408</v>
      </c>
      <c r="K84" s="4">
        <v>1.5496760000000001</v>
      </c>
      <c r="L84" s="4" t="s">
        <v>1408</v>
      </c>
      <c r="N84" s="5" t="s">
        <v>1408</v>
      </c>
      <c r="O84" s="5">
        <v>4666070</v>
      </c>
      <c r="P84" s="6" t="e">
        <v>#VALUE!</v>
      </c>
      <c r="Q84" s="1"/>
      <c r="R84" s="7" t="e">
        <f ca="1">_xll.SNL.Clients.Office.Excel.Functions.SPG(A84, "SP_TOTAL_DEBT", "LTM")</f>
        <v>#NAME?</v>
      </c>
      <c r="S84" s="8" t="e">
        <f ca="1">_xll.SNL.Clients.Office.Excel.Functions.SPG(A84, "SP_DEBT_TO_EQUITY", "LTM")</f>
        <v>#NAME?</v>
      </c>
      <c r="U84" s="9" t="e">
        <f t="shared" ca="1" si="1"/>
        <v>#VALUE!</v>
      </c>
      <c r="Y84" s="1"/>
      <c r="Z84" s="1"/>
      <c r="AA84" s="10"/>
      <c r="AB84" s="1" t="s">
        <v>209</v>
      </c>
      <c r="AC84" s="1" t="s">
        <v>34</v>
      </c>
      <c r="AD84" s="10">
        <v>9654.4872762753694</v>
      </c>
      <c r="AE84" s="1" t="s">
        <v>42</v>
      </c>
    </row>
    <row r="85" spans="1:31" x14ac:dyDescent="0.2">
      <c r="A85" s="1" t="s">
        <v>210</v>
      </c>
      <c r="B85" s="2" t="s">
        <v>1408</v>
      </c>
      <c r="C85" s="3">
        <v>-24.343533722651902</v>
      </c>
      <c r="D85" s="2">
        <v>-3.7709999999999999</v>
      </c>
      <c r="E85" s="2" t="s">
        <v>1408</v>
      </c>
      <c r="F85" s="4">
        <v>0.86799999999999999</v>
      </c>
      <c r="G85" s="4">
        <v>13.3139379675501</v>
      </c>
      <c r="H85" s="2" t="s">
        <v>1408</v>
      </c>
      <c r="I85" s="4" t="s">
        <v>1408</v>
      </c>
      <c r="J85" s="4">
        <v>32.455088204754198</v>
      </c>
      <c r="K85" s="4" t="s">
        <v>1408</v>
      </c>
      <c r="L85" s="4" t="s">
        <v>1408</v>
      </c>
      <c r="N85" s="5" t="s">
        <v>1408</v>
      </c>
      <c r="O85" s="5">
        <v>682571</v>
      </c>
      <c r="P85" s="6" t="e">
        <v>#VALUE!</v>
      </c>
      <c r="Q85" s="1"/>
      <c r="R85" s="7" t="e">
        <f ca="1">_xll.SNL.Clients.Office.Excel.Functions.SPG(A85, "SP_TOTAL_DEBT", "LTM")</f>
        <v>#NAME?</v>
      </c>
      <c r="S85" s="8" t="e">
        <f ca="1">_xll.SNL.Clients.Office.Excel.Functions.SPG(A85, "SP_DEBT_TO_EQUITY", "LTM")</f>
        <v>#NAME?</v>
      </c>
      <c r="U85" s="9" t="e">
        <f t="shared" ca="1" si="1"/>
        <v>#VALUE!</v>
      </c>
      <c r="Y85" s="1"/>
      <c r="Z85" s="1"/>
      <c r="AA85" s="10"/>
      <c r="AB85" s="1" t="s">
        <v>211</v>
      </c>
      <c r="AC85" s="1" t="s">
        <v>34</v>
      </c>
      <c r="AD85" s="10">
        <v>5033.5728753686599</v>
      </c>
      <c r="AE85" s="1" t="s">
        <v>42</v>
      </c>
    </row>
    <row r="86" spans="1:31" x14ac:dyDescent="0.2">
      <c r="A86" s="1" t="s">
        <v>212</v>
      </c>
      <c r="B86" s="2" t="s">
        <v>1408</v>
      </c>
      <c r="C86" s="3" t="s">
        <v>1408</v>
      </c>
      <c r="D86" s="2">
        <v>28.963000000000001</v>
      </c>
      <c r="E86" s="2">
        <v>5.1282050000000003</v>
      </c>
      <c r="F86" s="4">
        <v>1.2589999999999999</v>
      </c>
      <c r="G86" s="4">
        <v>15.7765083524652</v>
      </c>
      <c r="H86" s="2" t="s">
        <v>1408</v>
      </c>
      <c r="I86" s="4" t="s">
        <v>1408</v>
      </c>
      <c r="J86" s="4">
        <v>16.677848825517401</v>
      </c>
      <c r="K86" s="4">
        <v>0.51036700000000002</v>
      </c>
      <c r="L86" s="4" t="s">
        <v>1408</v>
      </c>
      <c r="N86" s="5" t="s">
        <v>1408</v>
      </c>
      <c r="O86" s="5">
        <v>73733</v>
      </c>
      <c r="P86" s="6" t="e">
        <v>#VALUE!</v>
      </c>
      <c r="Q86" s="1"/>
      <c r="R86" s="7" t="e">
        <f ca="1">_xll.SNL.Clients.Office.Excel.Functions.SPG(A86, "SP_TOTAL_DEBT", "LTM")</f>
        <v>#NAME?</v>
      </c>
      <c r="S86" s="8" t="e">
        <f ca="1">_xll.SNL.Clients.Office.Excel.Functions.SPG(A86, "SP_DEBT_TO_EQUITY", "LTM")</f>
        <v>#NAME?</v>
      </c>
      <c r="U86" s="9" t="e">
        <f t="shared" ca="1" si="1"/>
        <v>#VALUE!</v>
      </c>
      <c r="Y86" s="1"/>
      <c r="Z86" s="1"/>
      <c r="AA86" s="10"/>
      <c r="AB86" s="1" t="s">
        <v>213</v>
      </c>
      <c r="AC86" s="1" t="s">
        <v>34</v>
      </c>
      <c r="AD86" s="10">
        <v>423.96</v>
      </c>
      <c r="AE86" s="1" t="s">
        <v>42</v>
      </c>
    </row>
    <row r="87" spans="1:31" x14ac:dyDescent="0.2">
      <c r="A87" s="1" t="s">
        <v>214</v>
      </c>
      <c r="B87" s="2" t="s">
        <v>1408</v>
      </c>
      <c r="C87" s="3">
        <v>-22.0110578229277</v>
      </c>
      <c r="D87" s="2">
        <v>4.1989999999999998</v>
      </c>
      <c r="E87" s="2">
        <v>4.2797080000000003</v>
      </c>
      <c r="F87" s="4">
        <v>0.83299999999999996</v>
      </c>
      <c r="G87" s="4">
        <v>9.0023101138244499</v>
      </c>
      <c r="H87" s="2" t="s">
        <v>1408</v>
      </c>
      <c r="I87" s="4" t="s">
        <v>1408</v>
      </c>
      <c r="J87" s="4">
        <v>16.619851437447299</v>
      </c>
      <c r="K87" s="4">
        <v>0.40096599999999999</v>
      </c>
      <c r="L87" s="4" t="s">
        <v>1408</v>
      </c>
      <c r="N87" s="5" t="s">
        <v>1408</v>
      </c>
      <c r="O87" s="5">
        <v>514067</v>
      </c>
      <c r="P87" s="6" t="e">
        <v>#VALUE!</v>
      </c>
      <c r="Q87" s="1"/>
      <c r="R87" s="7" t="e">
        <f ca="1">_xll.SNL.Clients.Office.Excel.Functions.SPG(A87, "SP_TOTAL_DEBT", "LTM")</f>
        <v>#NAME?</v>
      </c>
      <c r="S87" s="8" t="e">
        <f ca="1">_xll.SNL.Clients.Office.Excel.Functions.SPG(A87, "SP_DEBT_TO_EQUITY", "LTM")</f>
        <v>#NAME?</v>
      </c>
      <c r="U87" s="9" t="e">
        <f t="shared" ca="1" si="1"/>
        <v>#VALUE!</v>
      </c>
      <c r="Y87" s="1"/>
      <c r="Z87" s="1"/>
      <c r="AA87" s="10"/>
      <c r="AB87" s="1" t="s">
        <v>215</v>
      </c>
      <c r="AC87" s="1" t="s">
        <v>34</v>
      </c>
      <c r="AD87" s="10">
        <v>555.44895034454601</v>
      </c>
      <c r="AE87" s="1" t="s">
        <v>42</v>
      </c>
    </row>
    <row r="88" spans="1:31" x14ac:dyDescent="0.2">
      <c r="A88" s="1" t="s">
        <v>216</v>
      </c>
      <c r="B88" s="2" t="s">
        <v>1408</v>
      </c>
      <c r="C88" s="3">
        <v>37.371884130079501</v>
      </c>
      <c r="D88" s="2">
        <v>33.112000000000002</v>
      </c>
      <c r="E88" s="2">
        <v>7.2564380000000002</v>
      </c>
      <c r="F88" s="4">
        <v>3.3889999999999998</v>
      </c>
      <c r="G88" s="4">
        <v>28.282289707166701</v>
      </c>
      <c r="H88" s="2" t="s">
        <v>1408</v>
      </c>
      <c r="I88" s="4" t="s">
        <v>1408</v>
      </c>
      <c r="J88" s="4">
        <v>61.294516737403697</v>
      </c>
      <c r="K88" s="4">
        <v>1.935881</v>
      </c>
      <c r="L88" s="4" t="s">
        <v>1408</v>
      </c>
      <c r="N88" s="5" t="s">
        <v>1408</v>
      </c>
      <c r="O88" s="5">
        <v>11091408</v>
      </c>
      <c r="P88" s="6" t="e">
        <v>#VALUE!</v>
      </c>
      <c r="Q88" s="1"/>
      <c r="R88" s="7" t="e">
        <f ca="1">_xll.SNL.Clients.Office.Excel.Functions.SPG(A88, "SP_TOTAL_DEBT", "LTM")</f>
        <v>#NAME?</v>
      </c>
      <c r="S88" s="8" t="e">
        <f ca="1">_xll.SNL.Clients.Office.Excel.Functions.SPG(A88, "SP_DEBT_TO_EQUITY", "LTM")</f>
        <v>#NAME?</v>
      </c>
      <c r="U88" s="9" t="e">
        <f t="shared" ca="1" si="1"/>
        <v>#VALUE!</v>
      </c>
      <c r="Y88" s="1"/>
      <c r="Z88" s="1"/>
      <c r="AA88" s="10"/>
      <c r="AB88" s="1" t="s">
        <v>217</v>
      </c>
      <c r="AC88" s="1" t="s">
        <v>34</v>
      </c>
      <c r="AD88" s="10">
        <v>4539.1733874398496</v>
      </c>
      <c r="AE88" s="1" t="s">
        <v>42</v>
      </c>
    </row>
    <row r="89" spans="1:31" x14ac:dyDescent="0.2">
      <c r="A89" s="1" t="s">
        <v>218</v>
      </c>
      <c r="B89" s="2" t="s">
        <v>1408</v>
      </c>
      <c r="C89" s="3">
        <v>50.6110256825839</v>
      </c>
      <c r="D89" s="2">
        <v>18.875</v>
      </c>
      <c r="E89" s="2" t="s">
        <v>1408</v>
      </c>
      <c r="F89" s="4">
        <v>1.6879999999999999</v>
      </c>
      <c r="G89" s="4">
        <v>19.2519655316095</v>
      </c>
      <c r="H89" s="2" t="s">
        <v>1408</v>
      </c>
      <c r="I89" s="4" t="s">
        <v>1408</v>
      </c>
      <c r="J89" s="4">
        <v>32.065490885137201</v>
      </c>
      <c r="K89" s="4">
        <v>1.0657890000000001</v>
      </c>
      <c r="L89" s="4" t="s">
        <v>1408</v>
      </c>
      <c r="N89" s="5" t="s">
        <v>1408</v>
      </c>
      <c r="O89" s="5">
        <v>33295064</v>
      </c>
      <c r="P89" s="6" t="e">
        <v>#VALUE!</v>
      </c>
      <c r="Q89" s="1"/>
      <c r="R89" s="7" t="e">
        <f ca="1">_xll.SNL.Clients.Office.Excel.Functions.SPG(A89, "SP_TOTAL_DEBT", "LTM")</f>
        <v>#NAME?</v>
      </c>
      <c r="S89" s="8" t="e">
        <f ca="1">_xll.SNL.Clients.Office.Excel.Functions.SPG(A89, "SP_DEBT_TO_EQUITY", "LTM")</f>
        <v>#NAME?</v>
      </c>
      <c r="U89" s="9" t="e">
        <f t="shared" ca="1" si="1"/>
        <v>#VALUE!</v>
      </c>
      <c r="Y89" s="1"/>
      <c r="Z89" s="1"/>
      <c r="AA89" s="10"/>
      <c r="AB89" s="1" t="s">
        <v>219</v>
      </c>
      <c r="AC89" s="1" t="s">
        <v>34</v>
      </c>
      <c r="AD89" s="10">
        <v>32648.127892102199</v>
      </c>
      <c r="AE89" s="1" t="s">
        <v>42</v>
      </c>
    </row>
    <row r="90" spans="1:31" x14ac:dyDescent="0.2">
      <c r="A90" s="1" t="s">
        <v>220</v>
      </c>
      <c r="B90" s="2" t="s">
        <v>1408</v>
      </c>
      <c r="C90" s="3">
        <v>-22.355035384640299</v>
      </c>
      <c r="D90" s="2">
        <v>-4.0540000000000003</v>
      </c>
      <c r="E90" s="2" t="s">
        <v>1408</v>
      </c>
      <c r="F90" s="4">
        <v>0.78500000000000003</v>
      </c>
      <c r="G90" s="4">
        <v>9.2484278415515409</v>
      </c>
      <c r="H90" s="2" t="s">
        <v>1408</v>
      </c>
      <c r="I90" s="4" t="s">
        <v>1408</v>
      </c>
      <c r="J90" s="4">
        <v>14.7793026540943</v>
      </c>
      <c r="K90" s="4">
        <v>0.613174</v>
      </c>
      <c r="L90" s="4" t="s">
        <v>1408</v>
      </c>
      <c r="N90" s="5" t="s">
        <v>1408</v>
      </c>
      <c r="O90" s="5">
        <v>937549</v>
      </c>
      <c r="P90" s="6" t="e">
        <v>#VALUE!</v>
      </c>
      <c r="Q90" s="1"/>
      <c r="R90" s="7" t="e">
        <f ca="1">_xll.SNL.Clients.Office.Excel.Functions.SPG(A90, "SP_TOTAL_DEBT", "LTM")</f>
        <v>#NAME?</v>
      </c>
      <c r="S90" s="8" t="e">
        <f ca="1">_xll.SNL.Clients.Office.Excel.Functions.SPG(A90, "SP_DEBT_TO_EQUITY", "LTM")</f>
        <v>#NAME?</v>
      </c>
      <c r="U90" s="9" t="e">
        <f t="shared" ca="1" si="1"/>
        <v>#VALUE!</v>
      </c>
      <c r="Y90" s="1"/>
      <c r="Z90" s="1"/>
      <c r="AA90" s="10"/>
      <c r="AB90" s="1" t="s">
        <v>221</v>
      </c>
      <c r="AC90" s="1" t="s">
        <v>34</v>
      </c>
      <c r="AD90" s="10">
        <v>1214.5823301704399</v>
      </c>
      <c r="AE90" s="1" t="s">
        <v>42</v>
      </c>
    </row>
    <row r="91" spans="1:31" x14ac:dyDescent="0.2">
      <c r="A91" s="1" t="s">
        <v>222</v>
      </c>
      <c r="B91" s="2" t="s">
        <v>1408</v>
      </c>
      <c r="C91" s="3">
        <v>24.490871863332799</v>
      </c>
      <c r="D91" s="2">
        <v>20.061</v>
      </c>
      <c r="E91" s="2" t="s">
        <v>1408</v>
      </c>
      <c r="F91" s="4">
        <v>3.5129999999999999</v>
      </c>
      <c r="G91" s="4">
        <v>24.465011371630499</v>
      </c>
      <c r="H91" s="2" t="s">
        <v>1408</v>
      </c>
      <c r="I91" s="4" t="s">
        <v>1408</v>
      </c>
      <c r="J91" s="4" t="s">
        <v>1408</v>
      </c>
      <c r="K91" s="4">
        <v>0.98442799999999997</v>
      </c>
      <c r="L91" s="4" t="s">
        <v>1408</v>
      </c>
      <c r="N91" s="5" t="s">
        <v>1408</v>
      </c>
      <c r="O91" s="5">
        <v>2259064</v>
      </c>
      <c r="P91" s="6" t="e">
        <v>#VALUE!</v>
      </c>
      <c r="Q91" s="1"/>
      <c r="R91" s="7" t="e">
        <f ca="1">_xll.SNL.Clients.Office.Excel.Functions.SPG(A91, "SP_TOTAL_DEBT", "LTM")</f>
        <v>#NAME?</v>
      </c>
      <c r="S91" s="8" t="e">
        <f ca="1">_xll.SNL.Clients.Office.Excel.Functions.SPG(A91, "SP_DEBT_TO_EQUITY", "LTM")</f>
        <v>#NAME?</v>
      </c>
      <c r="U91" s="9" t="e">
        <f t="shared" ca="1" si="1"/>
        <v>#VALUE!</v>
      </c>
      <c r="Y91" s="1"/>
      <c r="Z91" s="1"/>
      <c r="AA91" s="10"/>
      <c r="AB91" s="1" t="s">
        <v>223</v>
      </c>
      <c r="AC91" s="1" t="s">
        <v>224</v>
      </c>
      <c r="AD91" s="10">
        <v>2100.5159151247399</v>
      </c>
      <c r="AE91" s="1" t="s">
        <v>42</v>
      </c>
    </row>
    <row r="92" spans="1:31" x14ac:dyDescent="0.2">
      <c r="A92" s="1" t="s">
        <v>225</v>
      </c>
      <c r="B92" s="2" t="s">
        <v>1408</v>
      </c>
      <c r="C92" s="3">
        <v>43.059868009397498</v>
      </c>
      <c r="D92" s="2">
        <v>12.353999999999999</v>
      </c>
      <c r="E92" s="2" t="s">
        <v>1408</v>
      </c>
      <c r="F92" s="4">
        <v>1.708</v>
      </c>
      <c r="G92" s="4">
        <v>16.995772645650401</v>
      </c>
      <c r="H92" s="2" t="s">
        <v>1408</v>
      </c>
      <c r="I92" s="4" t="s">
        <v>1408</v>
      </c>
      <c r="J92" s="4">
        <v>26.774545911512</v>
      </c>
      <c r="K92" s="4">
        <v>0.81102399999999997</v>
      </c>
      <c r="L92" s="4" t="s">
        <v>1408</v>
      </c>
      <c r="N92" s="5" t="s">
        <v>1408</v>
      </c>
      <c r="O92" s="5">
        <v>121819</v>
      </c>
      <c r="P92" s="6" t="e">
        <v>#VALUE!</v>
      </c>
      <c r="Q92" s="1"/>
      <c r="R92" s="7" t="e">
        <f ca="1">_xll.SNL.Clients.Office.Excel.Functions.SPG(A92, "SP_TOTAL_DEBT", "LTM")</f>
        <v>#NAME?</v>
      </c>
      <c r="S92" s="8" t="e">
        <f ca="1">_xll.SNL.Clients.Office.Excel.Functions.SPG(A92, "SP_DEBT_TO_EQUITY", "LTM")</f>
        <v>#NAME?</v>
      </c>
      <c r="U92" s="9" t="e">
        <f t="shared" ca="1" si="1"/>
        <v>#VALUE!</v>
      </c>
      <c r="Y92" s="1"/>
      <c r="Z92" s="1"/>
      <c r="AA92" s="10"/>
      <c r="AB92" s="1" t="s">
        <v>226</v>
      </c>
      <c r="AC92" s="1" t="s">
        <v>34</v>
      </c>
      <c r="AD92" s="10">
        <v>585.50985000000003</v>
      </c>
      <c r="AE92" s="1" t="s">
        <v>42</v>
      </c>
    </row>
    <row r="93" spans="1:31" x14ac:dyDescent="0.2">
      <c r="A93" s="1" t="s">
        <v>227</v>
      </c>
      <c r="B93" s="2" t="s">
        <v>1408</v>
      </c>
      <c r="C93" s="3" t="s">
        <v>1408</v>
      </c>
      <c r="D93" s="2">
        <v>63.137999999999998</v>
      </c>
      <c r="E93" s="2">
        <v>36.033723999999999</v>
      </c>
      <c r="F93" s="4">
        <v>1.611</v>
      </c>
      <c r="G93" s="4">
        <v>15.7020188336269</v>
      </c>
      <c r="H93" s="2" t="s">
        <v>1408</v>
      </c>
      <c r="I93" s="4" t="s">
        <v>1408</v>
      </c>
      <c r="J93" s="4">
        <v>17.496990852758302</v>
      </c>
      <c r="K93" s="4">
        <v>3.1867580000000002</v>
      </c>
      <c r="L93" s="4" t="s">
        <v>1408</v>
      </c>
      <c r="N93" s="5" t="s">
        <v>1408</v>
      </c>
      <c r="O93" s="5">
        <v>13467447</v>
      </c>
      <c r="P93" s="6" t="e">
        <v>#VALUE!</v>
      </c>
      <c r="Q93" s="1"/>
      <c r="R93" s="7" t="e">
        <f ca="1">_xll.SNL.Clients.Office.Excel.Functions.SPG(A93, "SP_TOTAL_DEBT", "LTM")</f>
        <v>#NAME?</v>
      </c>
      <c r="S93" s="8" t="e">
        <f ca="1">_xll.SNL.Clients.Office.Excel.Functions.SPG(A93, "SP_DEBT_TO_EQUITY", "LTM")</f>
        <v>#NAME?</v>
      </c>
      <c r="U93" s="9" t="e">
        <f t="shared" ca="1" si="1"/>
        <v>#VALUE!</v>
      </c>
      <c r="Y93" s="1"/>
      <c r="Z93" s="1"/>
      <c r="AA93" s="10"/>
      <c r="AB93" s="1" t="s">
        <v>228</v>
      </c>
      <c r="AC93" s="1" t="s">
        <v>34</v>
      </c>
      <c r="AD93" s="10">
        <v>400.51098880484102</v>
      </c>
      <c r="AE93" s="1" t="s">
        <v>42</v>
      </c>
    </row>
    <row r="94" spans="1:31" x14ac:dyDescent="0.2">
      <c r="A94" s="1" t="s">
        <v>229</v>
      </c>
      <c r="B94" s="2" t="s">
        <v>1408</v>
      </c>
      <c r="C94" s="3">
        <v>-23.146010912473901</v>
      </c>
      <c r="D94" s="2">
        <v>-10.618</v>
      </c>
      <c r="E94" s="2">
        <v>10.731978</v>
      </c>
      <c r="F94" s="4">
        <v>1.34</v>
      </c>
      <c r="G94" s="4">
        <v>12.4237654398913</v>
      </c>
      <c r="H94" s="2" t="s">
        <v>1408</v>
      </c>
      <c r="I94" s="4" t="s">
        <v>1408</v>
      </c>
      <c r="J94" s="4">
        <v>23.570365677394101</v>
      </c>
      <c r="K94" s="4">
        <v>1.18411</v>
      </c>
      <c r="L94" s="4" t="s">
        <v>1408</v>
      </c>
      <c r="N94" s="5" t="s">
        <v>1408</v>
      </c>
      <c r="O94" s="5">
        <v>900498</v>
      </c>
      <c r="P94" s="6" t="e">
        <v>#VALUE!</v>
      </c>
      <c r="Q94" s="1"/>
      <c r="R94" s="7" t="e">
        <f ca="1">_xll.SNL.Clients.Office.Excel.Functions.SPG(A94, "SP_TOTAL_DEBT", "LTM")</f>
        <v>#NAME?</v>
      </c>
      <c r="S94" s="8" t="e">
        <f ca="1">_xll.SNL.Clients.Office.Excel.Functions.SPG(A94, "SP_DEBT_TO_EQUITY", "LTM")</f>
        <v>#NAME?</v>
      </c>
      <c r="U94" s="9" t="e">
        <f t="shared" ca="1" si="1"/>
        <v>#VALUE!</v>
      </c>
      <c r="Y94" s="1"/>
      <c r="Z94" s="1"/>
      <c r="AA94" s="10"/>
      <c r="AB94" s="1" t="s">
        <v>230</v>
      </c>
      <c r="AC94" s="1" t="s">
        <v>34</v>
      </c>
      <c r="AD94" s="10">
        <v>2401.6440517513402</v>
      </c>
      <c r="AE94" s="1" t="s">
        <v>42</v>
      </c>
    </row>
    <row r="95" spans="1:31" x14ac:dyDescent="0.2">
      <c r="A95" s="1" t="s">
        <v>231</v>
      </c>
      <c r="B95" s="2" t="s">
        <v>1408</v>
      </c>
      <c r="C95" s="3">
        <v>-18.180381566031599</v>
      </c>
      <c r="D95" s="2">
        <v>8.7409999999999997</v>
      </c>
      <c r="E95" s="2" t="s">
        <v>1408</v>
      </c>
      <c r="F95" s="4">
        <v>0.877</v>
      </c>
      <c r="G95" s="4">
        <v>10.096218096723399</v>
      </c>
      <c r="H95" s="2" t="s">
        <v>1408</v>
      </c>
      <c r="I95" s="4" t="s">
        <v>1408</v>
      </c>
      <c r="J95" s="4">
        <v>26.032761825628899</v>
      </c>
      <c r="K95" s="4" t="s">
        <v>1408</v>
      </c>
      <c r="L95" s="4" t="s">
        <v>1408</v>
      </c>
      <c r="N95" s="5" t="s">
        <v>1408</v>
      </c>
      <c r="O95" s="5">
        <v>354883</v>
      </c>
      <c r="P95" s="6" t="e">
        <v>#VALUE!</v>
      </c>
      <c r="Q95" s="1"/>
      <c r="R95" s="7" t="e">
        <f ca="1">_xll.SNL.Clients.Office.Excel.Functions.SPG(A95, "SP_TOTAL_DEBT", "LTM")</f>
        <v>#NAME?</v>
      </c>
      <c r="S95" s="8" t="e">
        <f ca="1">_xll.SNL.Clients.Office.Excel.Functions.SPG(A95, "SP_DEBT_TO_EQUITY", "LTM")</f>
        <v>#NAME?</v>
      </c>
      <c r="U95" s="9" t="e">
        <f t="shared" ca="1" si="1"/>
        <v>#VALUE!</v>
      </c>
      <c r="Y95" s="1"/>
      <c r="Z95" s="1"/>
      <c r="AA95" s="10"/>
      <c r="AB95" s="1" t="s">
        <v>232</v>
      </c>
      <c r="AC95" s="1" t="s">
        <v>34</v>
      </c>
      <c r="AD95" s="10">
        <v>2023.1756777507201</v>
      </c>
      <c r="AE95" s="1" t="s">
        <v>42</v>
      </c>
    </row>
    <row r="96" spans="1:31" x14ac:dyDescent="0.2">
      <c r="A96" s="1" t="s">
        <v>233</v>
      </c>
      <c r="B96" s="2" t="s">
        <v>1408</v>
      </c>
      <c r="C96" s="3">
        <v>56.878078844405799</v>
      </c>
      <c r="D96" s="2">
        <v>44.795000000000002</v>
      </c>
      <c r="E96" s="2">
        <v>5.6884059999999996</v>
      </c>
      <c r="F96" s="4">
        <v>1.5529999999999999</v>
      </c>
      <c r="G96" s="4">
        <v>8.9738531957469192</v>
      </c>
      <c r="H96" s="2" t="s">
        <v>1408</v>
      </c>
      <c r="I96" s="4" t="s">
        <v>1408</v>
      </c>
      <c r="J96" s="4">
        <v>62.437840814518196</v>
      </c>
      <c r="K96" s="4">
        <v>0.74119500000000005</v>
      </c>
      <c r="L96" s="4" t="s">
        <v>1408</v>
      </c>
      <c r="N96" s="5" t="s">
        <v>1408</v>
      </c>
      <c r="O96" s="5">
        <v>150798</v>
      </c>
      <c r="P96" s="6" t="e">
        <v>#VALUE!</v>
      </c>
      <c r="Q96" s="1"/>
      <c r="R96" s="7" t="e">
        <f ca="1">_xll.SNL.Clients.Office.Excel.Functions.SPG(A96, "SP_TOTAL_DEBT", "LTM")</f>
        <v>#NAME?</v>
      </c>
      <c r="S96" s="8" t="e">
        <f ca="1">_xll.SNL.Clients.Office.Excel.Functions.SPG(A96, "SP_DEBT_TO_EQUITY", "LTM")</f>
        <v>#NAME?</v>
      </c>
      <c r="U96" s="9" t="e">
        <f t="shared" ca="1" si="1"/>
        <v>#VALUE!</v>
      </c>
      <c r="Y96" s="1"/>
      <c r="Z96" s="1"/>
      <c r="AA96" s="10"/>
      <c r="AB96" s="1" t="s">
        <v>234</v>
      </c>
      <c r="AC96" s="1" t="s">
        <v>28</v>
      </c>
      <c r="AD96" s="10">
        <v>878.78700000000003</v>
      </c>
      <c r="AE96" s="1" t="s">
        <v>42</v>
      </c>
    </row>
    <row r="97" spans="1:31" x14ac:dyDescent="0.2">
      <c r="A97" s="1" t="s">
        <v>235</v>
      </c>
      <c r="B97" s="2" t="s">
        <v>1408</v>
      </c>
      <c r="C97" s="3" t="s">
        <v>1408</v>
      </c>
      <c r="D97" s="2">
        <v>32.792000000000002</v>
      </c>
      <c r="E97" s="2">
        <v>37.166049999999998</v>
      </c>
      <c r="F97" s="4">
        <v>2.5739999999999998</v>
      </c>
      <c r="G97" s="4" t="s">
        <v>1408</v>
      </c>
      <c r="H97" s="2" t="s">
        <v>1408</v>
      </c>
      <c r="I97" s="4" t="s">
        <v>1408</v>
      </c>
      <c r="J97" s="4">
        <v>26.475318041310999</v>
      </c>
      <c r="K97" s="4">
        <v>2.5946630000000002</v>
      </c>
      <c r="L97" s="4" t="s">
        <v>1408</v>
      </c>
      <c r="N97" s="5" t="s">
        <v>1408</v>
      </c>
      <c r="O97" s="5">
        <v>117119000</v>
      </c>
      <c r="P97" s="6" t="e">
        <v>#VALUE!</v>
      </c>
      <c r="Q97" s="1"/>
      <c r="R97" s="7" t="e">
        <f ca="1">_xll.SNL.Clients.Office.Excel.Functions.SPG(A97, "SP_TOTAL_DEBT", "LTM")</f>
        <v>#NAME?</v>
      </c>
      <c r="S97" s="8" t="e">
        <f ca="1">_xll.SNL.Clients.Office.Excel.Functions.SPG(A97, "SP_DEBT_TO_EQUITY", "LTM")</f>
        <v>#NAME?</v>
      </c>
      <c r="U97" s="9" t="e">
        <f t="shared" ca="1" si="1"/>
        <v>#VALUE!</v>
      </c>
      <c r="Y97" s="1"/>
      <c r="Z97" s="1"/>
      <c r="AA97" s="10"/>
      <c r="AB97" s="1" t="s">
        <v>236</v>
      </c>
      <c r="AC97" s="1" t="s">
        <v>34</v>
      </c>
      <c r="AD97" s="10">
        <v>3256.7942392221498</v>
      </c>
      <c r="AE97" s="1" t="s">
        <v>42</v>
      </c>
    </row>
    <row r="98" spans="1:31" x14ac:dyDescent="0.2">
      <c r="A98" s="1" t="s">
        <v>237</v>
      </c>
      <c r="B98" s="2" t="s">
        <v>1408</v>
      </c>
      <c r="C98" s="3">
        <v>0.15233300625511501</v>
      </c>
      <c r="D98" s="2">
        <v>27.068000000000001</v>
      </c>
      <c r="E98" s="2" t="s">
        <v>1408</v>
      </c>
      <c r="F98" s="4">
        <v>2.472</v>
      </c>
      <c r="G98" s="4">
        <v>15.333949066761001</v>
      </c>
      <c r="H98" s="2" t="s">
        <v>1408</v>
      </c>
      <c r="I98" s="4" t="s">
        <v>1408</v>
      </c>
      <c r="J98" s="4">
        <v>10.575736552562701</v>
      </c>
      <c r="K98" s="4">
        <v>1.4297</v>
      </c>
      <c r="L98" s="4" t="s">
        <v>1408</v>
      </c>
      <c r="N98" s="5" t="s">
        <v>1408</v>
      </c>
      <c r="O98" s="5">
        <v>287653</v>
      </c>
      <c r="P98" s="6" t="e">
        <v>#VALUE!</v>
      </c>
      <c r="Q98" s="1"/>
      <c r="R98" s="7" t="e">
        <f ca="1">_xll.SNL.Clients.Office.Excel.Functions.SPG(A98, "SP_TOTAL_DEBT", "LTM")</f>
        <v>#NAME?</v>
      </c>
      <c r="S98" s="8" t="e">
        <f ca="1">_xll.SNL.Clients.Office.Excel.Functions.SPG(A98, "SP_DEBT_TO_EQUITY", "LTM")</f>
        <v>#NAME?</v>
      </c>
      <c r="U98" s="9" t="e">
        <f t="shared" ca="1" si="1"/>
        <v>#VALUE!</v>
      </c>
      <c r="Y98" s="1"/>
      <c r="Z98" s="1"/>
      <c r="AA98" s="10"/>
      <c r="AB98" s="1" t="s">
        <v>238</v>
      </c>
      <c r="AC98" s="1" t="s">
        <v>34</v>
      </c>
      <c r="AD98" s="10">
        <v>430.849019313783</v>
      </c>
      <c r="AE98" s="1" t="s">
        <v>42</v>
      </c>
    </row>
    <row r="99" spans="1:31" x14ac:dyDescent="0.2">
      <c r="A99" s="1" t="s">
        <v>239</v>
      </c>
      <c r="B99" s="2" t="s">
        <v>1408</v>
      </c>
      <c r="C99" s="3" t="s">
        <v>1408</v>
      </c>
      <c r="D99" s="2" t="s">
        <v>1409</v>
      </c>
      <c r="E99" s="2" t="s">
        <v>1408</v>
      </c>
      <c r="F99" s="4">
        <v>10.050000000000001</v>
      </c>
      <c r="G99" s="4">
        <v>28.1415711893106</v>
      </c>
      <c r="H99" s="2" t="s">
        <v>1408</v>
      </c>
      <c r="I99" s="4" t="s">
        <v>1408</v>
      </c>
      <c r="J99" s="4">
        <v>33.858344406162097</v>
      </c>
      <c r="K99" s="4">
        <v>12.937063</v>
      </c>
      <c r="L99" s="4" t="s">
        <v>1408</v>
      </c>
      <c r="N99" s="5" t="s">
        <v>1408</v>
      </c>
      <c r="O99" s="5">
        <v>1108767</v>
      </c>
      <c r="P99" s="6" t="e">
        <v>#VALUE!</v>
      </c>
      <c r="Q99" s="1"/>
      <c r="R99" s="7" t="e">
        <f ca="1">_xll.SNL.Clients.Office.Excel.Functions.SPG(A99, "SP_TOTAL_DEBT", "LTM")</f>
        <v>#NAME?</v>
      </c>
      <c r="S99" s="8" t="e">
        <f ca="1">_xll.SNL.Clients.Office.Excel.Functions.SPG(A99, "SP_DEBT_TO_EQUITY", "LTM")</f>
        <v>#NAME?</v>
      </c>
      <c r="U99" s="9" t="e">
        <f t="shared" ca="1" si="1"/>
        <v>#VALUE!</v>
      </c>
      <c r="Y99" s="1"/>
      <c r="Z99" s="1"/>
      <c r="AA99" s="10"/>
      <c r="AB99" s="1" t="s">
        <v>240</v>
      </c>
      <c r="AC99" s="1" t="s">
        <v>34</v>
      </c>
      <c r="AD99" s="10">
        <v>1483.3442235785801</v>
      </c>
      <c r="AE99" s="1" t="s">
        <v>42</v>
      </c>
    </row>
    <row r="100" spans="1:31" x14ac:dyDescent="0.2">
      <c r="A100" s="1" t="s">
        <v>241</v>
      </c>
      <c r="B100" s="2" t="s">
        <v>1408</v>
      </c>
      <c r="C100" s="3">
        <v>-12.374462791223699</v>
      </c>
      <c r="D100" s="2">
        <v>12.865</v>
      </c>
      <c r="E100" s="2" t="s">
        <v>1408</v>
      </c>
      <c r="F100" s="4">
        <v>1.048</v>
      </c>
      <c r="G100" s="4">
        <v>8.13440599251091</v>
      </c>
      <c r="H100" s="2" t="s">
        <v>1408</v>
      </c>
      <c r="I100" s="4" t="s">
        <v>1408</v>
      </c>
      <c r="J100" s="4">
        <v>9.0309009357984493</v>
      </c>
      <c r="K100" s="4" t="s">
        <v>1408</v>
      </c>
      <c r="L100" s="4" t="s">
        <v>1408</v>
      </c>
      <c r="N100" s="5" t="s">
        <v>1408</v>
      </c>
      <c r="O100" s="5">
        <v>591676</v>
      </c>
      <c r="P100" s="6" t="e">
        <v>#VALUE!</v>
      </c>
      <c r="Q100" s="1"/>
      <c r="R100" s="7" t="e">
        <f ca="1">_xll.SNL.Clients.Office.Excel.Functions.SPG(A100, "SP_TOTAL_DEBT", "LTM")</f>
        <v>#NAME?</v>
      </c>
      <c r="S100" s="8" t="e">
        <f ca="1">_xll.SNL.Clients.Office.Excel.Functions.SPG(A100, "SP_DEBT_TO_EQUITY", "LTM")</f>
        <v>#NAME?</v>
      </c>
      <c r="U100" s="9" t="e">
        <f t="shared" ca="1" si="1"/>
        <v>#VALUE!</v>
      </c>
      <c r="Y100" s="1"/>
      <c r="Z100" s="1"/>
      <c r="AA100" s="10"/>
      <c r="AB100" s="1" t="s">
        <v>242</v>
      </c>
      <c r="AC100" s="1" t="s">
        <v>34</v>
      </c>
      <c r="AD100" s="10">
        <v>2022.35768216363</v>
      </c>
      <c r="AE100" s="1" t="s">
        <v>42</v>
      </c>
    </row>
    <row r="101" spans="1:31" x14ac:dyDescent="0.2">
      <c r="A101" s="1" t="s">
        <v>243</v>
      </c>
      <c r="B101" s="2" t="s">
        <v>1408</v>
      </c>
      <c r="C101" s="3">
        <v>33.992571195918103</v>
      </c>
      <c r="D101" s="2">
        <v>33.222000000000001</v>
      </c>
      <c r="E101" s="2" t="s">
        <v>1408</v>
      </c>
      <c r="F101" s="4">
        <v>3.2770000000000001</v>
      </c>
      <c r="G101" s="4">
        <v>16.8808782446749</v>
      </c>
      <c r="H101" s="2" t="s">
        <v>1408</v>
      </c>
      <c r="I101" s="4" t="s">
        <v>1408</v>
      </c>
      <c r="J101" s="4">
        <v>28.6736887824052</v>
      </c>
      <c r="K101" s="4" t="s">
        <v>1408</v>
      </c>
      <c r="L101" s="4" t="s">
        <v>1408</v>
      </c>
      <c r="N101" s="5" t="s">
        <v>1408</v>
      </c>
      <c r="O101" s="5">
        <v>40739296</v>
      </c>
      <c r="P101" s="6" t="e">
        <v>#VALUE!</v>
      </c>
      <c r="Q101" s="1"/>
      <c r="R101" s="7" t="e">
        <f ca="1">_xll.SNL.Clients.Office.Excel.Functions.SPG(A101, "SP_TOTAL_DEBT", "LTM")</f>
        <v>#NAME?</v>
      </c>
      <c r="S101" s="8" t="e">
        <f ca="1">_xll.SNL.Clients.Office.Excel.Functions.SPG(A101, "SP_DEBT_TO_EQUITY", "LTM")</f>
        <v>#NAME?</v>
      </c>
      <c r="U101" s="9" t="e">
        <f t="shared" ca="1" si="1"/>
        <v>#VALUE!</v>
      </c>
      <c r="Y101" s="1"/>
      <c r="Z101" s="1"/>
      <c r="AA101" s="10"/>
      <c r="AB101" s="1" t="s">
        <v>244</v>
      </c>
      <c r="AC101" s="1" t="s">
        <v>34</v>
      </c>
      <c r="AD101" s="10">
        <v>808.57600626081705</v>
      </c>
      <c r="AE101" s="1" t="s">
        <v>42</v>
      </c>
    </row>
    <row r="102" spans="1:31" x14ac:dyDescent="0.2">
      <c r="A102" s="1" t="s">
        <v>245</v>
      </c>
      <c r="B102" s="2" t="s">
        <v>1408</v>
      </c>
      <c r="C102" s="3" t="s">
        <v>1408</v>
      </c>
      <c r="D102" s="2">
        <v>25.507999999999999</v>
      </c>
      <c r="E102" s="2">
        <v>5.3977459999999997</v>
      </c>
      <c r="F102" s="4">
        <v>0.71399999999999997</v>
      </c>
      <c r="G102" s="4">
        <v>8.6330119222973796</v>
      </c>
      <c r="H102" s="2" t="s">
        <v>1408</v>
      </c>
      <c r="I102" s="4" t="s">
        <v>1408</v>
      </c>
      <c r="J102" s="4" t="s">
        <v>1408</v>
      </c>
      <c r="K102" s="4">
        <v>0.54275799999999996</v>
      </c>
      <c r="L102" s="4" t="s">
        <v>1408</v>
      </c>
      <c r="N102" s="5" t="s">
        <v>1408</v>
      </c>
      <c r="O102" s="5" t="s">
        <v>1408</v>
      </c>
      <c r="P102" s="6" t="e">
        <v>#VALUE!</v>
      </c>
      <c r="Q102" s="1"/>
      <c r="R102" s="7" t="e">
        <f ca="1">_xll.SNL.Clients.Office.Excel.Functions.SPG(A102, "SP_TOTAL_DEBT", "LTM")</f>
        <v>#NAME?</v>
      </c>
      <c r="S102" s="8" t="e">
        <f ca="1">_xll.SNL.Clients.Office.Excel.Functions.SPG(A102, "SP_DEBT_TO_EQUITY", "LTM")</f>
        <v>#NAME?</v>
      </c>
      <c r="U102" s="9" t="e">
        <f t="shared" ca="1" si="1"/>
        <v>#VALUE!</v>
      </c>
      <c r="Y102" s="1"/>
      <c r="Z102" s="1"/>
      <c r="AA102" s="10"/>
      <c r="AB102" s="1" t="s">
        <v>246</v>
      </c>
      <c r="AC102" s="1" t="s">
        <v>34</v>
      </c>
      <c r="AD102" s="10">
        <v>735.39359999999999</v>
      </c>
      <c r="AE102" s="1" t="s">
        <v>42</v>
      </c>
    </row>
    <row r="103" spans="1:31" x14ac:dyDescent="0.2">
      <c r="A103" s="1" t="s">
        <v>247</v>
      </c>
      <c r="B103" s="2" t="s">
        <v>1408</v>
      </c>
      <c r="C103" s="3">
        <v>-74.397440358779406</v>
      </c>
      <c r="D103" s="2">
        <v>-21.809000000000001</v>
      </c>
      <c r="E103" s="2" t="s">
        <v>1409</v>
      </c>
      <c r="F103" s="4">
        <v>-1.262</v>
      </c>
      <c r="G103" s="4">
        <v>2.4383107598745699</v>
      </c>
      <c r="H103" s="2" t="s">
        <v>1408</v>
      </c>
      <c r="I103" s="4" t="s">
        <v>1408</v>
      </c>
      <c r="J103" s="4">
        <v>-76.259430742838205</v>
      </c>
      <c r="K103" s="4">
        <v>0.57939600000000002</v>
      </c>
      <c r="L103" s="4" t="s">
        <v>1408</v>
      </c>
      <c r="N103" s="5" t="s">
        <v>1408</v>
      </c>
      <c r="O103" s="5">
        <v>-401985</v>
      </c>
      <c r="P103" s="6" t="e">
        <v>#VALUE!</v>
      </c>
      <c r="Q103" s="1"/>
      <c r="R103" s="7" t="e">
        <f ca="1">_xll.SNL.Clients.Office.Excel.Functions.SPG(A103, "SP_TOTAL_DEBT", "LTM")</f>
        <v>#NAME?</v>
      </c>
      <c r="S103" s="8" t="e">
        <f ca="1">_xll.SNL.Clients.Office.Excel.Functions.SPG(A103, "SP_DEBT_TO_EQUITY", "LTM")</f>
        <v>#NAME?</v>
      </c>
      <c r="U103" s="9" t="e">
        <f t="shared" ca="1" si="1"/>
        <v>#VALUE!</v>
      </c>
      <c r="Y103" s="1"/>
      <c r="Z103" s="1"/>
      <c r="AA103" s="10"/>
      <c r="AB103" s="1" t="s">
        <v>248</v>
      </c>
      <c r="AC103" s="1" t="s">
        <v>34</v>
      </c>
      <c r="AD103" s="10">
        <v>433.76341959573301</v>
      </c>
      <c r="AE103" s="1" t="s">
        <v>42</v>
      </c>
    </row>
    <row r="104" spans="1:31" x14ac:dyDescent="0.2">
      <c r="A104" s="1" t="s">
        <v>249</v>
      </c>
      <c r="B104" s="2" t="s">
        <v>1408</v>
      </c>
      <c r="C104" s="3" t="s">
        <v>1408</v>
      </c>
      <c r="D104" s="2">
        <v>-10.82</v>
      </c>
      <c r="E104" s="2" t="s">
        <v>1408</v>
      </c>
      <c r="F104" s="4" t="s">
        <v>1408</v>
      </c>
      <c r="G104" s="4" t="s">
        <v>1408</v>
      </c>
      <c r="H104" s="2" t="s">
        <v>1408</v>
      </c>
      <c r="I104" s="4" t="s">
        <v>1408</v>
      </c>
      <c r="J104" s="4" t="s">
        <v>1408</v>
      </c>
      <c r="K104" s="4">
        <v>1.0348679999999999</v>
      </c>
      <c r="L104" s="4" t="s">
        <v>1408</v>
      </c>
      <c r="N104" s="5" t="s">
        <v>1408</v>
      </c>
      <c r="O104" s="5" t="s">
        <v>1408</v>
      </c>
      <c r="P104" s="6" t="e">
        <v>#VALUE!</v>
      </c>
      <c r="Q104" s="1"/>
      <c r="R104" s="7" t="e">
        <f ca="1">_xll.SNL.Clients.Office.Excel.Functions.SPG(A104, "SP_TOTAL_DEBT", "LTM")</f>
        <v>#NAME?</v>
      </c>
      <c r="S104" s="8" t="e">
        <f ca="1">_xll.SNL.Clients.Office.Excel.Functions.SPG(A104, "SP_DEBT_TO_EQUITY", "LTM")</f>
        <v>#NAME?</v>
      </c>
      <c r="U104" s="9" t="e">
        <f t="shared" ca="1" si="1"/>
        <v>#VALUE!</v>
      </c>
      <c r="Y104" s="1"/>
      <c r="Z104" s="1"/>
      <c r="AA104" s="10"/>
      <c r="AB104" s="1" t="s">
        <v>250</v>
      </c>
      <c r="AC104" s="1" t="s">
        <v>34</v>
      </c>
      <c r="AD104" s="10">
        <v>21551.222050908898</v>
      </c>
      <c r="AE104" s="1" t="s">
        <v>42</v>
      </c>
    </row>
    <row r="105" spans="1:31" x14ac:dyDescent="0.2">
      <c r="A105" s="1" t="s">
        <v>251</v>
      </c>
      <c r="B105" s="2" t="s">
        <v>1408</v>
      </c>
      <c r="C105" s="3">
        <v>-38.613314093744499</v>
      </c>
      <c r="D105" s="2">
        <v>-20.696999999999999</v>
      </c>
      <c r="E105" s="2" t="s">
        <v>1408</v>
      </c>
      <c r="F105" s="4">
        <v>0.73399999999999999</v>
      </c>
      <c r="G105" s="4">
        <v>12.0157577827936</v>
      </c>
      <c r="H105" s="2" t="s">
        <v>1408</v>
      </c>
      <c r="I105" s="4" t="s">
        <v>1408</v>
      </c>
      <c r="J105" s="4">
        <v>29.0782509008205</v>
      </c>
      <c r="K105" s="4">
        <v>1.9154260000000001</v>
      </c>
      <c r="L105" s="4" t="s">
        <v>1408</v>
      </c>
      <c r="N105" s="5" t="s">
        <v>1408</v>
      </c>
      <c r="O105" s="5">
        <v>510814</v>
      </c>
      <c r="P105" s="6" t="e">
        <v>#VALUE!</v>
      </c>
      <c r="Q105" s="1"/>
      <c r="R105" s="7" t="e">
        <f ca="1">_xll.SNL.Clients.Office.Excel.Functions.SPG(A105, "SP_TOTAL_DEBT", "LTM")</f>
        <v>#NAME?</v>
      </c>
      <c r="S105" s="8" t="e">
        <f ca="1">_xll.SNL.Clients.Office.Excel.Functions.SPG(A105, "SP_DEBT_TO_EQUITY", "LTM")</f>
        <v>#NAME?</v>
      </c>
      <c r="U105" s="9" t="e">
        <f t="shared" ca="1" si="1"/>
        <v>#VALUE!</v>
      </c>
      <c r="Y105" s="1"/>
      <c r="Z105" s="1"/>
      <c r="AA105" s="10"/>
      <c r="AB105" s="1" t="s">
        <v>252</v>
      </c>
      <c r="AC105" s="1" t="s">
        <v>34</v>
      </c>
      <c r="AD105" s="10">
        <v>8690.3933294102499</v>
      </c>
      <c r="AE105" s="1" t="s">
        <v>42</v>
      </c>
    </row>
    <row r="106" spans="1:31" x14ac:dyDescent="0.2">
      <c r="A106" s="1" t="s">
        <v>253</v>
      </c>
      <c r="B106" s="2" t="s">
        <v>1408</v>
      </c>
      <c r="C106" s="3">
        <v>65.985570586760403</v>
      </c>
      <c r="D106" s="2">
        <v>35.350999999999999</v>
      </c>
      <c r="E106" s="2">
        <v>5.177924</v>
      </c>
      <c r="F106" s="4">
        <v>1.9079999999999999</v>
      </c>
      <c r="G106" s="4">
        <v>19.7908699170614</v>
      </c>
      <c r="H106" s="2" t="s">
        <v>1408</v>
      </c>
      <c r="I106" s="4" t="s">
        <v>1408</v>
      </c>
      <c r="J106" s="4">
        <v>28.875944202936999</v>
      </c>
      <c r="K106" s="4">
        <v>0.87076799999999999</v>
      </c>
      <c r="L106" s="4" t="s">
        <v>1408</v>
      </c>
      <c r="N106" s="5" t="s">
        <v>1408</v>
      </c>
      <c r="O106" s="5">
        <v>6429325</v>
      </c>
      <c r="P106" s="6" t="e">
        <v>#VALUE!</v>
      </c>
      <c r="Q106" s="1"/>
      <c r="R106" s="7" t="e">
        <f ca="1">_xll.SNL.Clients.Office.Excel.Functions.SPG(A106, "SP_TOTAL_DEBT", "LTM")</f>
        <v>#NAME?</v>
      </c>
      <c r="S106" s="8" t="e">
        <f ca="1">_xll.SNL.Clients.Office.Excel.Functions.SPG(A106, "SP_DEBT_TO_EQUITY", "LTM")</f>
        <v>#NAME?</v>
      </c>
      <c r="U106" s="9" t="e">
        <f t="shared" ca="1" si="1"/>
        <v>#VALUE!</v>
      </c>
      <c r="Y106" s="1"/>
      <c r="Z106" s="1"/>
      <c r="AA106" s="10"/>
      <c r="AB106" s="1" t="s">
        <v>254</v>
      </c>
      <c r="AC106" s="1" t="s">
        <v>34</v>
      </c>
      <c r="AD106" s="10">
        <v>7801.8064148639696</v>
      </c>
      <c r="AE106" s="1" t="s">
        <v>42</v>
      </c>
    </row>
    <row r="107" spans="1:31" x14ac:dyDescent="0.2">
      <c r="A107" s="1" t="s">
        <v>255</v>
      </c>
      <c r="B107" s="2" t="s">
        <v>1408</v>
      </c>
      <c r="C107" s="3">
        <v>50.004248274652298</v>
      </c>
      <c r="D107" s="2">
        <v>25.835999999999999</v>
      </c>
      <c r="E107" s="2" t="s">
        <v>1408</v>
      </c>
      <c r="F107" s="4">
        <v>0.83899999999999997</v>
      </c>
      <c r="G107" s="4">
        <v>18.0886395438555</v>
      </c>
      <c r="H107" s="2" t="s">
        <v>1408</v>
      </c>
      <c r="I107" s="4" t="s">
        <v>1408</v>
      </c>
      <c r="J107" s="4" t="s">
        <v>1408</v>
      </c>
      <c r="K107" s="4">
        <v>1.4682059999999999</v>
      </c>
      <c r="L107" s="4" t="s">
        <v>1408</v>
      </c>
      <c r="N107" s="5" t="s">
        <v>1408</v>
      </c>
      <c r="O107" s="5" t="s">
        <v>1408</v>
      </c>
      <c r="P107" s="6" t="e">
        <v>#VALUE!</v>
      </c>
      <c r="Q107" s="1"/>
      <c r="R107" s="7" t="e">
        <f ca="1">_xll.SNL.Clients.Office.Excel.Functions.SPG(A107, "SP_TOTAL_DEBT", "LTM")</f>
        <v>#NAME?</v>
      </c>
      <c r="S107" s="8" t="e">
        <f ca="1">_xll.SNL.Clients.Office.Excel.Functions.SPG(A107, "SP_DEBT_TO_EQUITY", "LTM")</f>
        <v>#NAME?</v>
      </c>
      <c r="U107" s="9" t="e">
        <f t="shared" ca="1" si="1"/>
        <v>#VALUE!</v>
      </c>
      <c r="Y107" s="1"/>
      <c r="Z107" s="1"/>
      <c r="AA107" s="10"/>
      <c r="AB107" s="1" t="s">
        <v>256</v>
      </c>
      <c r="AC107" s="1" t="s">
        <v>34</v>
      </c>
      <c r="AD107" s="10">
        <v>630.63487647690704</v>
      </c>
      <c r="AE107" s="1" t="s">
        <v>42</v>
      </c>
    </row>
    <row r="108" spans="1:31" x14ac:dyDescent="0.2">
      <c r="A108" s="1" t="s">
        <v>257</v>
      </c>
      <c r="B108" s="2" t="s">
        <v>1408</v>
      </c>
      <c r="C108" s="3">
        <v>30.465949820788499</v>
      </c>
      <c r="D108" s="2">
        <v>47.054000000000002</v>
      </c>
      <c r="E108" s="2">
        <v>11.311813000000001</v>
      </c>
      <c r="F108" s="4">
        <v>1.891</v>
      </c>
      <c r="G108" s="4">
        <v>13.081811797752801</v>
      </c>
      <c r="H108" s="2" t="s">
        <v>1408</v>
      </c>
      <c r="I108" s="4" t="s">
        <v>1408</v>
      </c>
      <c r="J108" s="4">
        <v>45.031444032281698</v>
      </c>
      <c r="K108" s="4">
        <v>1.3771819999999999</v>
      </c>
      <c r="L108" s="4" t="s">
        <v>1408</v>
      </c>
      <c r="N108" s="5" t="s">
        <v>1408</v>
      </c>
      <c r="O108" s="5">
        <v>74514</v>
      </c>
      <c r="P108" s="6" t="e">
        <v>#VALUE!</v>
      </c>
      <c r="Q108" s="1"/>
      <c r="R108" s="7" t="e">
        <f ca="1">_xll.SNL.Clients.Office.Excel.Functions.SPG(A108, "SP_TOTAL_DEBT", "LTM")</f>
        <v>#NAME?</v>
      </c>
      <c r="S108" s="8" t="e">
        <f ca="1">_xll.SNL.Clients.Office.Excel.Functions.SPG(A108, "SP_DEBT_TO_EQUITY", "LTM")</f>
        <v>#NAME?</v>
      </c>
      <c r="U108" s="9" t="e">
        <f t="shared" ca="1" si="1"/>
        <v>#VALUE!</v>
      </c>
      <c r="Y108" s="1"/>
      <c r="Z108" s="1"/>
      <c r="AA108" s="10"/>
      <c r="AB108" s="1" t="s">
        <v>258</v>
      </c>
      <c r="AC108" s="1" t="s">
        <v>34</v>
      </c>
      <c r="AD108" s="10">
        <v>875.23166163999997</v>
      </c>
      <c r="AE108" s="1" t="s">
        <v>25</v>
      </c>
    </row>
    <row r="109" spans="1:31" x14ac:dyDescent="0.2">
      <c r="A109" s="1" t="s">
        <v>259</v>
      </c>
      <c r="B109" s="2" t="s">
        <v>1408</v>
      </c>
      <c r="C109" s="3">
        <v>-24.4525547445256</v>
      </c>
      <c r="D109" s="2">
        <v>-5.4420000000000002</v>
      </c>
      <c r="E109" s="2">
        <v>14.599034</v>
      </c>
      <c r="F109" s="4">
        <v>0.72299999999999998</v>
      </c>
      <c r="G109" s="4">
        <v>12.6298379386457</v>
      </c>
      <c r="H109" s="2" t="s">
        <v>1408</v>
      </c>
      <c r="I109" s="4" t="s">
        <v>1408</v>
      </c>
      <c r="J109" s="4">
        <v>37.155875767856401</v>
      </c>
      <c r="K109" s="4">
        <v>1.946663</v>
      </c>
      <c r="L109" s="4" t="s">
        <v>1408</v>
      </c>
      <c r="N109" s="5" t="s">
        <v>1408</v>
      </c>
      <c r="O109" s="5">
        <v>171202</v>
      </c>
      <c r="P109" s="6" t="e">
        <v>#VALUE!</v>
      </c>
      <c r="Q109" s="1"/>
      <c r="R109" s="7" t="e">
        <f ca="1">_xll.SNL.Clients.Office.Excel.Functions.SPG(A109, "SP_TOTAL_DEBT", "LTM")</f>
        <v>#NAME?</v>
      </c>
      <c r="S109" s="8" t="e">
        <f ca="1">_xll.SNL.Clients.Office.Excel.Functions.SPG(A109, "SP_DEBT_TO_EQUITY", "LTM")</f>
        <v>#NAME?</v>
      </c>
      <c r="U109" s="9" t="e">
        <f t="shared" ca="1" si="1"/>
        <v>#VALUE!</v>
      </c>
      <c r="Y109" s="1"/>
      <c r="Z109" s="1"/>
      <c r="AA109" s="10"/>
      <c r="AB109" s="1" t="s">
        <v>260</v>
      </c>
      <c r="AC109" s="1" t="s">
        <v>34</v>
      </c>
      <c r="AD109" s="10">
        <v>2513.4284778699998</v>
      </c>
      <c r="AE109" s="1" t="s">
        <v>25</v>
      </c>
    </row>
    <row r="110" spans="1:31" x14ac:dyDescent="0.2">
      <c r="A110" s="1" t="s">
        <v>261</v>
      </c>
      <c r="B110" s="2" t="s">
        <v>1408</v>
      </c>
      <c r="C110" s="3">
        <v>-57.5342465753425</v>
      </c>
      <c r="D110" s="2">
        <v>-23.92</v>
      </c>
      <c r="E110" s="2">
        <v>14.508065</v>
      </c>
      <c r="F110" s="4">
        <v>0.5</v>
      </c>
      <c r="G110" s="4">
        <v>4.6946085741793002</v>
      </c>
      <c r="H110" s="2" t="s">
        <v>1408</v>
      </c>
      <c r="I110" s="4" t="s">
        <v>1408</v>
      </c>
      <c r="J110" s="4">
        <v>28.0958792006547</v>
      </c>
      <c r="K110" s="4">
        <v>0.65868499999999996</v>
      </c>
      <c r="L110" s="4" t="s">
        <v>1408</v>
      </c>
      <c r="N110" s="5" t="s">
        <v>1408</v>
      </c>
      <c r="O110" s="5">
        <v>19895</v>
      </c>
      <c r="P110" s="6" t="e">
        <v>#VALUE!</v>
      </c>
      <c r="Q110" s="1"/>
      <c r="R110" s="7" t="e">
        <f ca="1">_xll.SNL.Clients.Office.Excel.Functions.SPG(A110, "SP_TOTAL_DEBT", "LTM")</f>
        <v>#NAME?</v>
      </c>
      <c r="S110" s="8" t="e">
        <f ca="1">_xll.SNL.Clients.Office.Excel.Functions.SPG(A110, "SP_DEBT_TO_EQUITY", "LTM")</f>
        <v>#NAME?</v>
      </c>
      <c r="U110" s="9" t="e">
        <f t="shared" ca="1" si="1"/>
        <v>#VALUE!</v>
      </c>
      <c r="Y110" s="1"/>
      <c r="Z110" s="1"/>
      <c r="AA110" s="10"/>
      <c r="AB110" s="1" t="s">
        <v>262</v>
      </c>
      <c r="AC110" s="1" t="s">
        <v>34</v>
      </c>
      <c r="AD110" s="10">
        <v>314.76900025999998</v>
      </c>
      <c r="AE110" s="1" t="s">
        <v>25</v>
      </c>
    </row>
    <row r="111" spans="1:31" x14ac:dyDescent="0.2">
      <c r="A111" s="1" t="s">
        <v>263</v>
      </c>
      <c r="B111" s="2" t="s">
        <v>1408</v>
      </c>
      <c r="C111" s="3">
        <v>29.295154185022</v>
      </c>
      <c r="D111" s="2">
        <v>18.803999999999998</v>
      </c>
      <c r="E111" s="2">
        <v>7.1175470000000001</v>
      </c>
      <c r="F111" s="4">
        <v>2.2320000000000002</v>
      </c>
      <c r="G111" s="4">
        <v>14.2225815410454</v>
      </c>
      <c r="H111" s="2" t="s">
        <v>1408</v>
      </c>
      <c r="I111" s="4" t="s">
        <v>1408</v>
      </c>
      <c r="J111" s="4">
        <v>56.055091888230699</v>
      </c>
      <c r="K111" s="4">
        <v>0.98486600000000002</v>
      </c>
      <c r="L111" s="4" t="s">
        <v>1408</v>
      </c>
      <c r="N111" s="5" t="s">
        <v>1408</v>
      </c>
      <c r="O111" s="5">
        <v>690839</v>
      </c>
      <c r="P111" s="6" t="e">
        <v>#VALUE!</v>
      </c>
      <c r="Q111" s="1"/>
      <c r="R111" s="7" t="e">
        <f ca="1">_xll.SNL.Clients.Office.Excel.Functions.SPG(A111, "SP_TOTAL_DEBT", "LTM")</f>
        <v>#NAME?</v>
      </c>
      <c r="S111" s="8" t="e">
        <f ca="1">_xll.SNL.Clients.Office.Excel.Functions.SPG(A111, "SP_DEBT_TO_EQUITY", "LTM")</f>
        <v>#NAME?</v>
      </c>
      <c r="U111" s="9" t="e">
        <f t="shared" ca="1" si="1"/>
        <v>#VALUE!</v>
      </c>
      <c r="Y111" s="1"/>
      <c r="Z111" s="1"/>
      <c r="AA111" s="10"/>
      <c r="AB111" s="1" t="s">
        <v>264</v>
      </c>
      <c r="AC111" s="1" t="s">
        <v>34</v>
      </c>
      <c r="AD111" s="10">
        <v>5104.1365939200005</v>
      </c>
      <c r="AE111" s="1" t="s">
        <v>25</v>
      </c>
    </row>
    <row r="112" spans="1:31" x14ac:dyDescent="0.2">
      <c r="A112" s="1" t="s">
        <v>265</v>
      </c>
      <c r="B112" s="2" t="s">
        <v>1408</v>
      </c>
      <c r="C112" s="3">
        <v>-32.7683615819209</v>
      </c>
      <c r="D112" s="2">
        <v>-4.633</v>
      </c>
      <c r="E112" s="2">
        <v>10.777965</v>
      </c>
      <c r="F112" s="4">
        <v>0.49099999999999999</v>
      </c>
      <c r="G112" s="4">
        <v>7.00937769220267</v>
      </c>
      <c r="H112" s="2" t="s">
        <v>1408</v>
      </c>
      <c r="I112" s="4" t="s">
        <v>1408</v>
      </c>
      <c r="J112" s="4">
        <v>29.102065120418999</v>
      </c>
      <c r="K112" s="4">
        <v>0.73942600000000003</v>
      </c>
      <c r="L112" s="4" t="s">
        <v>1408</v>
      </c>
      <c r="N112" s="5" t="s">
        <v>1408</v>
      </c>
      <c r="O112" s="5">
        <v>178671</v>
      </c>
      <c r="P112" s="6" t="e">
        <v>#VALUE!</v>
      </c>
      <c r="Q112" s="1"/>
      <c r="R112" s="7" t="e">
        <f ca="1">_xll.SNL.Clients.Office.Excel.Functions.SPG(A112, "SP_TOTAL_DEBT", "LTM")</f>
        <v>#NAME?</v>
      </c>
      <c r="S112" s="8" t="e">
        <f ca="1">_xll.SNL.Clients.Office.Excel.Functions.SPG(A112, "SP_DEBT_TO_EQUITY", "LTM")</f>
        <v>#NAME?</v>
      </c>
      <c r="U112" s="9" t="e">
        <f t="shared" ca="1" si="1"/>
        <v>#VALUE!</v>
      </c>
      <c r="Y112" s="1"/>
      <c r="Z112" s="1"/>
      <c r="AA112" s="10"/>
      <c r="AB112" s="1" t="s">
        <v>266</v>
      </c>
      <c r="AC112" s="1" t="s">
        <v>34</v>
      </c>
      <c r="AD112" s="10">
        <v>2101.7669913</v>
      </c>
      <c r="AE112" s="1" t="s">
        <v>25</v>
      </c>
    </row>
    <row r="113" spans="1:31" x14ac:dyDescent="0.2">
      <c r="A113" s="1" t="s">
        <v>267</v>
      </c>
      <c r="B113" s="2" t="s">
        <v>1408</v>
      </c>
      <c r="C113" s="3">
        <v>-5.9435626102292698</v>
      </c>
      <c r="D113" s="2">
        <v>-1.3660000000000001</v>
      </c>
      <c r="E113" s="2">
        <v>8.3564729999999994</v>
      </c>
      <c r="F113" s="4">
        <v>1.1659999999999999</v>
      </c>
      <c r="G113" s="4">
        <v>11.943777916395399</v>
      </c>
      <c r="H113" s="2" t="s">
        <v>1408</v>
      </c>
      <c r="I113" s="4" t="s">
        <v>1408</v>
      </c>
      <c r="J113" s="4">
        <v>38.509605162775003</v>
      </c>
      <c r="K113" s="4">
        <v>0.92567999999999995</v>
      </c>
      <c r="L113" s="4" t="s">
        <v>1408</v>
      </c>
      <c r="N113" s="5" t="s">
        <v>1408</v>
      </c>
      <c r="O113" s="5">
        <v>183624</v>
      </c>
      <c r="P113" s="6" t="e">
        <v>#VALUE!</v>
      </c>
      <c r="Q113" s="1"/>
      <c r="R113" s="7" t="e">
        <f ca="1">_xll.SNL.Clients.Office.Excel.Functions.SPG(A113, "SP_TOTAL_DEBT", "LTM")</f>
        <v>#NAME?</v>
      </c>
      <c r="S113" s="8" t="e">
        <f ca="1">_xll.SNL.Clients.Office.Excel.Functions.SPG(A113, "SP_DEBT_TO_EQUITY", "LTM")</f>
        <v>#NAME?</v>
      </c>
      <c r="U113" s="9" t="e">
        <f t="shared" ca="1" si="1"/>
        <v>#VALUE!</v>
      </c>
      <c r="Y113" s="1"/>
      <c r="Z113" s="1"/>
      <c r="AA113" s="10"/>
      <c r="AB113" s="1" t="s">
        <v>268</v>
      </c>
      <c r="AC113" s="1" t="s">
        <v>34</v>
      </c>
      <c r="AD113" s="10">
        <v>1599.9470280200001</v>
      </c>
      <c r="AE113" s="1" t="s">
        <v>25</v>
      </c>
    </row>
    <row r="114" spans="1:31" x14ac:dyDescent="0.2">
      <c r="A114" s="1" t="s">
        <v>269</v>
      </c>
      <c r="B114" s="2">
        <v>-7.0999999999999994E-2</v>
      </c>
      <c r="C114" s="3" t="s">
        <v>1408</v>
      </c>
      <c r="D114" s="2" t="s">
        <v>1408</v>
      </c>
      <c r="E114" s="2" t="s">
        <v>1408</v>
      </c>
      <c r="F114" s="4">
        <v>-4.2999999999999997E-2</v>
      </c>
      <c r="G114" s="4" t="s">
        <v>1408</v>
      </c>
      <c r="H114" s="2">
        <v>1.2130000000000001</v>
      </c>
      <c r="I114" s="4" t="s">
        <v>1408</v>
      </c>
      <c r="J114" s="4" t="s">
        <v>1408</v>
      </c>
      <c r="K114" s="4">
        <v>1.161983</v>
      </c>
      <c r="L114" s="4" t="s">
        <v>1408</v>
      </c>
      <c r="N114" s="5">
        <v>2182.2060000000001</v>
      </c>
      <c r="O114" s="5">
        <v>97123.657999999996</v>
      </c>
      <c r="P114" s="6">
        <v>2.2468325894397432E-2</v>
      </c>
      <c r="Q114" s="1"/>
      <c r="R114" s="7" t="e">
        <f ca="1">_xll.SNL.Clients.Office.Excel.Functions.SPG(A114, "SP_TOTAL_DEBT", "LTM")</f>
        <v>#NAME?</v>
      </c>
      <c r="S114" s="8" t="e">
        <f ca="1">_xll.SNL.Clients.Office.Excel.Functions.SPG(A114, "SP_DEBT_TO_EQUITY", "LTM")</f>
        <v>#NAME?</v>
      </c>
      <c r="U114" s="9" t="e">
        <f t="shared" ca="1" si="1"/>
        <v>#NAME?</v>
      </c>
      <c r="Y114" s="1"/>
      <c r="Z114" s="1"/>
      <c r="AA114" s="10"/>
      <c r="AB114" s="1" t="s">
        <v>270</v>
      </c>
      <c r="AC114" s="1" t="s">
        <v>24</v>
      </c>
      <c r="AD114" s="10">
        <v>694.98687487532595</v>
      </c>
      <c r="AE114" s="1" t="s">
        <v>42</v>
      </c>
    </row>
    <row r="115" spans="1:31" x14ac:dyDescent="0.2">
      <c r="A115" s="1" t="s">
        <v>271</v>
      </c>
      <c r="B115" s="2" t="s">
        <v>1408</v>
      </c>
      <c r="C115" s="3">
        <v>2.43055555555557</v>
      </c>
      <c r="D115" s="2">
        <v>2.9609999999999999</v>
      </c>
      <c r="E115" s="2">
        <v>8.5728810000000006</v>
      </c>
      <c r="F115" s="4">
        <v>1.1379999999999999</v>
      </c>
      <c r="G115" s="4">
        <v>10.877220212053899</v>
      </c>
      <c r="H115" s="2" t="s">
        <v>1408</v>
      </c>
      <c r="I115" s="4" t="s">
        <v>1408</v>
      </c>
      <c r="J115" s="4">
        <v>37.124463519313302</v>
      </c>
      <c r="K115" s="4">
        <v>0.88808500000000001</v>
      </c>
      <c r="L115" s="4" t="s">
        <v>1408</v>
      </c>
      <c r="N115" s="5" t="s">
        <v>1408</v>
      </c>
      <c r="O115" s="5">
        <v>44852</v>
      </c>
      <c r="P115" s="6" t="e">
        <v>#VALUE!</v>
      </c>
      <c r="Q115" s="1"/>
      <c r="R115" s="7" t="e">
        <f ca="1">_xll.SNL.Clients.Office.Excel.Functions.SPG(A115, "SP_TOTAL_DEBT", "LTM")</f>
        <v>#NAME?</v>
      </c>
      <c r="S115" s="8" t="e">
        <f ca="1">_xll.SNL.Clients.Office.Excel.Functions.SPG(A115, "SP_DEBT_TO_EQUITY", "LTM")</f>
        <v>#NAME?</v>
      </c>
      <c r="U115" s="9" t="e">
        <f t="shared" ca="1" si="1"/>
        <v>#VALUE!</v>
      </c>
      <c r="Y115" s="1"/>
      <c r="Z115" s="1"/>
      <c r="AA115" s="10"/>
      <c r="AB115" s="1" t="s">
        <v>272</v>
      </c>
      <c r="AC115" s="1" t="s">
        <v>34</v>
      </c>
      <c r="AD115" s="10">
        <v>399.17532</v>
      </c>
      <c r="AE115" s="1" t="s">
        <v>25</v>
      </c>
    </row>
    <row r="116" spans="1:31" x14ac:dyDescent="0.2">
      <c r="A116" s="1" t="s">
        <v>273</v>
      </c>
      <c r="B116" s="2" t="s">
        <v>1408</v>
      </c>
      <c r="C116" s="3" t="s">
        <v>1408</v>
      </c>
      <c r="D116" s="2">
        <v>4.0389999999999997</v>
      </c>
      <c r="E116" s="2">
        <v>24.656140000000001</v>
      </c>
      <c r="F116" s="4">
        <v>2.871</v>
      </c>
      <c r="G116" s="4">
        <v>13.6097197869765</v>
      </c>
      <c r="H116" s="2">
        <v>0.191</v>
      </c>
      <c r="I116" s="4">
        <v>7.0999999999999994E-2</v>
      </c>
      <c r="J116" s="4">
        <v>61.9310918631707</v>
      </c>
      <c r="K116" s="4">
        <v>2.4519350000000002</v>
      </c>
      <c r="L116" s="4" t="s">
        <v>1408</v>
      </c>
      <c r="N116" s="5" t="s">
        <v>1408</v>
      </c>
      <c r="O116" s="5">
        <v>3415000</v>
      </c>
      <c r="P116" s="6" t="e">
        <v>#VALUE!</v>
      </c>
      <c r="Q116" s="1"/>
      <c r="R116" s="7" t="e">
        <f ca="1">_xll.SNL.Clients.Office.Excel.Functions.SPG(A116, "SP_TOTAL_DEBT", "LTM")</f>
        <v>#NAME?</v>
      </c>
      <c r="S116" s="8" t="e">
        <f ca="1">_xll.SNL.Clients.Office.Excel.Functions.SPG(A116, "SP_DEBT_TO_EQUITY", "LTM")</f>
        <v>#NAME?</v>
      </c>
      <c r="U116" s="9" t="e">
        <f t="shared" ca="1" si="1"/>
        <v>#VALUE!</v>
      </c>
      <c r="Y116" s="1"/>
      <c r="Z116" s="1"/>
      <c r="AA116" s="10"/>
      <c r="AB116" s="1" t="s">
        <v>274</v>
      </c>
      <c r="AC116" s="1" t="s">
        <v>174</v>
      </c>
      <c r="AD116" s="10">
        <v>549.16635841090203</v>
      </c>
      <c r="AE116" s="1" t="s">
        <v>42</v>
      </c>
    </row>
    <row r="117" spans="1:31" x14ac:dyDescent="0.2">
      <c r="A117" s="1" t="s">
        <v>275</v>
      </c>
      <c r="B117" s="2">
        <v>62.454000000000001</v>
      </c>
      <c r="C117" s="3" t="s">
        <v>1408</v>
      </c>
      <c r="D117" s="2">
        <v>21.641999999999999</v>
      </c>
      <c r="E117" s="2" t="s">
        <v>1408</v>
      </c>
      <c r="F117" s="4">
        <v>32.000999999999998</v>
      </c>
      <c r="G117" s="4" t="s">
        <v>1408</v>
      </c>
      <c r="H117" s="2">
        <v>1.083</v>
      </c>
      <c r="I117" s="4">
        <v>0.53500000000000003</v>
      </c>
      <c r="J117" s="4" t="s">
        <v>1408</v>
      </c>
      <c r="K117" s="4">
        <v>7.1486109999999998</v>
      </c>
      <c r="L117" s="4">
        <v>7.3343420000000004</v>
      </c>
      <c r="N117" s="5">
        <v>4510446.875</v>
      </c>
      <c r="O117" s="5">
        <v>7947203</v>
      </c>
      <c r="P117" s="6">
        <v>0.56755148635312325</v>
      </c>
      <c r="Q117" s="1"/>
      <c r="R117" s="7" t="e">
        <f ca="1">_xll.SNL.Clients.Office.Excel.Functions.SPG(A117, "SP_TOTAL_DEBT", "LTM")</f>
        <v>#NAME?</v>
      </c>
      <c r="S117" s="8" t="e">
        <f ca="1">_xll.SNL.Clients.Office.Excel.Functions.SPG(A117, "SP_DEBT_TO_EQUITY", "LTM")</f>
        <v>#NAME?</v>
      </c>
      <c r="U117" s="9" t="e">
        <f t="shared" ca="1" si="1"/>
        <v>#NAME?</v>
      </c>
      <c r="Y117" s="1"/>
      <c r="Z117" s="1"/>
      <c r="AA117" s="10"/>
      <c r="AB117" s="1" t="s">
        <v>276</v>
      </c>
      <c r="AC117" s="1" t="s">
        <v>108</v>
      </c>
      <c r="AD117" s="10">
        <v>13819.4163111282</v>
      </c>
      <c r="AE117" s="1" t="s">
        <v>42</v>
      </c>
    </row>
    <row r="118" spans="1:31" x14ac:dyDescent="0.2">
      <c r="A118" s="1" t="s">
        <v>277</v>
      </c>
      <c r="B118" s="2" t="s">
        <v>1408</v>
      </c>
      <c r="C118" s="3">
        <v>-20.7920792079208</v>
      </c>
      <c r="D118" s="2">
        <v>-5.64</v>
      </c>
      <c r="E118" s="2">
        <v>13.95</v>
      </c>
      <c r="F118" s="4">
        <v>0.57799999999999996</v>
      </c>
      <c r="G118" s="4">
        <v>7.0729674796747997</v>
      </c>
      <c r="H118" s="2" t="s">
        <v>1408</v>
      </c>
      <c r="I118" s="4" t="s">
        <v>1408</v>
      </c>
      <c r="J118" s="4">
        <v>25.007734209036801</v>
      </c>
      <c r="K118" s="4">
        <v>0.94165299999999996</v>
      </c>
      <c r="L118" s="4" t="s">
        <v>1408</v>
      </c>
      <c r="N118" s="5" t="s">
        <v>1408</v>
      </c>
      <c r="O118" s="5">
        <v>69598</v>
      </c>
      <c r="P118" s="6" t="e">
        <v>#VALUE!</v>
      </c>
      <c r="Q118" s="1"/>
      <c r="R118" s="7" t="e">
        <f ca="1">_xll.SNL.Clients.Office.Excel.Functions.SPG(A118, "SP_TOTAL_DEBT", "LTM")</f>
        <v>#NAME?</v>
      </c>
      <c r="S118" s="8" t="e">
        <f ca="1">_xll.SNL.Clients.Office.Excel.Functions.SPG(A118, "SP_DEBT_TO_EQUITY", "LTM")</f>
        <v>#NAME?</v>
      </c>
      <c r="U118" s="9" t="e">
        <f t="shared" ca="1" si="1"/>
        <v>#VALUE!</v>
      </c>
      <c r="Y118" s="1"/>
      <c r="Z118" s="1"/>
      <c r="AA118" s="10"/>
      <c r="AB118" s="1" t="s">
        <v>278</v>
      </c>
      <c r="AC118" s="1" t="s">
        <v>34</v>
      </c>
      <c r="AD118" s="10">
        <v>1024.92</v>
      </c>
      <c r="AE118" s="1" t="s">
        <v>25</v>
      </c>
    </row>
    <row r="119" spans="1:31" x14ac:dyDescent="0.2">
      <c r="A119" s="1" t="s">
        <v>279</v>
      </c>
      <c r="B119" s="2" t="s">
        <v>1408</v>
      </c>
      <c r="C119" s="3" t="s">
        <v>1408</v>
      </c>
      <c r="D119" s="2">
        <v>-91.998999999999995</v>
      </c>
      <c r="E119" s="2" t="s">
        <v>1409</v>
      </c>
      <c r="F119" s="4" t="s">
        <v>1408</v>
      </c>
      <c r="G119" s="4" t="s">
        <v>1408</v>
      </c>
      <c r="H119" s="2">
        <v>1.145</v>
      </c>
      <c r="I119" s="4" t="s">
        <v>1408</v>
      </c>
      <c r="J119" s="4" t="s">
        <v>1408</v>
      </c>
      <c r="K119" s="4">
        <v>2.8169010000000001</v>
      </c>
      <c r="L119" s="4" t="s">
        <v>1408</v>
      </c>
      <c r="N119" s="5" t="s">
        <v>1408</v>
      </c>
      <c r="O119" s="5">
        <v>-738379</v>
      </c>
      <c r="P119" s="6" t="e">
        <v>#VALUE!</v>
      </c>
      <c r="Q119" s="1"/>
      <c r="R119" s="7" t="e">
        <f ca="1">_xll.SNL.Clients.Office.Excel.Functions.SPG(A119, "SP_TOTAL_DEBT", "LTM")</f>
        <v>#NAME?</v>
      </c>
      <c r="S119" s="8" t="e">
        <f ca="1">_xll.SNL.Clients.Office.Excel.Functions.SPG(A119, "SP_DEBT_TO_EQUITY", "LTM")</f>
        <v>#NAME?</v>
      </c>
      <c r="U119" s="9" t="e">
        <f t="shared" ca="1" si="1"/>
        <v>#VALUE!</v>
      </c>
      <c r="Y119" s="1"/>
      <c r="Z119" s="1"/>
      <c r="AA119" s="10"/>
      <c r="AB119" s="1" t="s">
        <v>280</v>
      </c>
      <c r="AC119" s="1" t="s">
        <v>164</v>
      </c>
      <c r="AD119" s="10">
        <v>453.61504437000002</v>
      </c>
      <c r="AE119" s="1" t="s">
        <v>25</v>
      </c>
    </row>
    <row r="120" spans="1:31" x14ac:dyDescent="0.2">
      <c r="A120" s="1" t="s">
        <v>281</v>
      </c>
      <c r="B120" s="2" t="s">
        <v>1408</v>
      </c>
      <c r="C120" s="3">
        <v>-59.375</v>
      </c>
      <c r="D120" s="2">
        <v>-10.723000000000001</v>
      </c>
      <c r="E120" s="2">
        <v>194.16666699999999</v>
      </c>
      <c r="F120" s="4">
        <v>0.495</v>
      </c>
      <c r="G120" s="4">
        <v>8.1874502883817204</v>
      </c>
      <c r="H120" s="2">
        <v>1.5</v>
      </c>
      <c r="I120" s="4">
        <v>0.439</v>
      </c>
      <c r="J120" s="4" t="s">
        <v>1408</v>
      </c>
      <c r="K120" s="4">
        <v>4.1336490000000001</v>
      </c>
      <c r="L120" s="4" t="s">
        <v>1408</v>
      </c>
      <c r="N120" s="5" t="s">
        <v>1408</v>
      </c>
      <c r="O120" s="5">
        <v>21110</v>
      </c>
      <c r="P120" s="6" t="e">
        <v>#VALUE!</v>
      </c>
      <c r="Q120" s="1"/>
      <c r="R120" s="7" t="e">
        <f ca="1">_xll.SNL.Clients.Office.Excel.Functions.SPG(A120, "SP_TOTAL_DEBT", "LTM")</f>
        <v>#NAME?</v>
      </c>
      <c r="S120" s="8" t="e">
        <f ca="1">_xll.SNL.Clients.Office.Excel.Functions.SPG(A120, "SP_DEBT_TO_EQUITY", "LTM")</f>
        <v>#NAME?</v>
      </c>
      <c r="U120" s="9" t="e">
        <f t="shared" ca="1" si="1"/>
        <v>#VALUE!</v>
      </c>
      <c r="Y120" s="1"/>
      <c r="Z120" s="1"/>
      <c r="AA120" s="10"/>
      <c r="AB120" s="1" t="s">
        <v>282</v>
      </c>
      <c r="AC120" s="1" t="s">
        <v>174</v>
      </c>
      <c r="AD120" s="10">
        <v>3503.4815527599999</v>
      </c>
      <c r="AE120" s="1" t="s">
        <v>25</v>
      </c>
    </row>
    <row r="121" spans="1:31" x14ac:dyDescent="0.2">
      <c r="A121" s="1" t="s">
        <v>283</v>
      </c>
      <c r="B121" s="2">
        <v>2.419</v>
      </c>
      <c r="C121" s="3" t="s">
        <v>1408</v>
      </c>
      <c r="D121" s="2">
        <v>56.863999999999997</v>
      </c>
      <c r="E121" s="2" t="s">
        <v>1408</v>
      </c>
      <c r="F121" s="4">
        <v>0.86199999999999999</v>
      </c>
      <c r="G121" s="4" t="s">
        <v>1408</v>
      </c>
      <c r="H121" s="2">
        <v>1.361</v>
      </c>
      <c r="I121" s="4">
        <v>0.128</v>
      </c>
      <c r="J121" s="4" t="s">
        <v>1408</v>
      </c>
      <c r="K121" s="4">
        <v>0.83955000000000002</v>
      </c>
      <c r="L121" s="4" t="s">
        <v>1409</v>
      </c>
      <c r="N121" s="5">
        <v>50779.351000000002</v>
      </c>
      <c r="O121" s="5">
        <v>218193.777</v>
      </c>
      <c r="P121" s="6">
        <v>0.23272593608386916</v>
      </c>
      <c r="Q121" s="1"/>
      <c r="R121" s="7" t="e">
        <f ca="1">_xll.SNL.Clients.Office.Excel.Functions.SPG(A121, "SP_TOTAL_DEBT", "LTM")</f>
        <v>#NAME?</v>
      </c>
      <c r="S121" s="8" t="e">
        <f ca="1">_xll.SNL.Clients.Office.Excel.Functions.SPG(A121, "SP_DEBT_TO_EQUITY", "LTM")</f>
        <v>#NAME?</v>
      </c>
      <c r="U121" s="9" t="e">
        <f t="shared" ca="1" si="1"/>
        <v>#NAME?</v>
      </c>
      <c r="Y121" s="1"/>
      <c r="Z121" s="1"/>
      <c r="AA121" s="10"/>
      <c r="AB121" s="1" t="s">
        <v>284</v>
      </c>
      <c r="AC121" s="1" t="s">
        <v>34</v>
      </c>
      <c r="AD121" s="10">
        <v>1226.80526293663</v>
      </c>
      <c r="AE121" s="1" t="s">
        <v>42</v>
      </c>
    </row>
    <row r="122" spans="1:31" x14ac:dyDescent="0.2">
      <c r="A122" s="1" t="s">
        <v>285</v>
      </c>
      <c r="B122" s="2" t="s">
        <v>1408</v>
      </c>
      <c r="C122" s="3">
        <v>-47.292418772563202</v>
      </c>
      <c r="D122" s="2">
        <v>-24.856000000000002</v>
      </c>
      <c r="E122" s="2">
        <v>16.576654999999999</v>
      </c>
      <c r="F122" s="4">
        <v>0.83799999999999997</v>
      </c>
      <c r="G122" s="4">
        <v>5.3996017299858803</v>
      </c>
      <c r="H122" s="2">
        <v>72.021000000000001</v>
      </c>
      <c r="I122" s="4">
        <v>1.6E-2</v>
      </c>
      <c r="J122" s="4" t="s">
        <v>1408</v>
      </c>
      <c r="K122" s="4">
        <v>0.73992000000000002</v>
      </c>
      <c r="L122" s="4" t="s">
        <v>1408</v>
      </c>
      <c r="N122" s="5" t="s">
        <v>1408</v>
      </c>
      <c r="O122" s="5">
        <v>204624</v>
      </c>
      <c r="P122" s="6" t="e">
        <v>#VALUE!</v>
      </c>
      <c r="Q122" s="1"/>
      <c r="R122" s="7" t="e">
        <f ca="1">_xll.SNL.Clients.Office.Excel.Functions.SPG(A122, "SP_TOTAL_DEBT", "LTM")</f>
        <v>#NAME?</v>
      </c>
      <c r="S122" s="8" t="e">
        <f ca="1">_xll.SNL.Clients.Office.Excel.Functions.SPG(A122, "SP_DEBT_TO_EQUITY", "LTM")</f>
        <v>#NAME?</v>
      </c>
      <c r="U122" s="9" t="e">
        <f t="shared" ca="1" si="1"/>
        <v>#VALUE!</v>
      </c>
      <c r="Y122" s="1"/>
      <c r="Z122" s="1"/>
      <c r="AA122" s="10"/>
      <c r="AB122" s="1" t="s">
        <v>286</v>
      </c>
      <c r="AC122" s="1" t="s">
        <v>65</v>
      </c>
      <c r="AD122" s="10">
        <v>3431.5430511599998</v>
      </c>
      <c r="AE122" s="1" t="s">
        <v>25</v>
      </c>
    </row>
    <row r="123" spans="1:31" x14ac:dyDescent="0.2">
      <c r="A123" s="1" t="s">
        <v>287</v>
      </c>
      <c r="B123" s="2">
        <v>-24.431999999999999</v>
      </c>
      <c r="C123" s="3" t="s">
        <v>1408</v>
      </c>
      <c r="D123" s="2">
        <v>0.30099999999999999</v>
      </c>
      <c r="E123" s="2" t="s">
        <v>1409</v>
      </c>
      <c r="F123" s="4">
        <v>-28.094000000000001</v>
      </c>
      <c r="G123" s="4" t="s">
        <v>1408</v>
      </c>
      <c r="H123" s="2">
        <v>7.6929999999999996</v>
      </c>
      <c r="I123" s="4">
        <v>0.40300000000000002</v>
      </c>
      <c r="J123" s="4" t="s">
        <v>1408</v>
      </c>
      <c r="K123" s="4">
        <v>112.8</v>
      </c>
      <c r="L123" s="4" t="s">
        <v>1409</v>
      </c>
      <c r="N123" s="5">
        <v>-29652.875</v>
      </c>
      <c r="O123" s="5">
        <v>-230946</v>
      </c>
      <c r="P123" s="6">
        <v>0.12839743922821786</v>
      </c>
      <c r="Q123" s="1"/>
      <c r="R123" s="7" t="e">
        <f ca="1">_xll.SNL.Clients.Office.Excel.Functions.SPG(A123, "SP_TOTAL_DEBT", "LTM")</f>
        <v>#NAME?</v>
      </c>
      <c r="S123" s="8" t="e">
        <f ca="1">_xll.SNL.Clients.Office.Excel.Functions.SPG(A123, "SP_DEBT_TO_EQUITY", "LTM")</f>
        <v>#NAME?</v>
      </c>
      <c r="U123" s="9" t="e">
        <f t="shared" ca="1" si="1"/>
        <v>#NAME?</v>
      </c>
      <c r="Y123" s="1"/>
      <c r="Z123" s="1"/>
      <c r="AA123" s="10"/>
      <c r="AB123" s="1" t="s">
        <v>288</v>
      </c>
      <c r="AC123" s="1" t="s">
        <v>77</v>
      </c>
      <c r="AD123" s="10">
        <v>677.58310892999998</v>
      </c>
      <c r="AE123" s="1" t="s">
        <v>25</v>
      </c>
    </row>
    <row r="124" spans="1:31" x14ac:dyDescent="0.2">
      <c r="A124" s="1" t="s">
        <v>289</v>
      </c>
      <c r="B124" s="2">
        <v>-2.2280000000000002</v>
      </c>
      <c r="C124" s="3" t="s">
        <v>1409</v>
      </c>
      <c r="D124" s="2">
        <v>-0.73399999999999999</v>
      </c>
      <c r="E124" s="2" t="s">
        <v>1409</v>
      </c>
      <c r="F124" s="4">
        <v>-0.69099999999999995</v>
      </c>
      <c r="G124" s="4">
        <v>-3.6171179244838001</v>
      </c>
      <c r="H124" s="2">
        <v>1.9079999999999999</v>
      </c>
      <c r="I124" s="4">
        <v>0.67400000000000004</v>
      </c>
      <c r="J124" s="4" t="s">
        <v>1408</v>
      </c>
      <c r="K124" s="4">
        <v>2.3050989999999998</v>
      </c>
      <c r="L124" s="4">
        <v>227.45316299999999</v>
      </c>
      <c r="N124" s="5">
        <v>518926.75</v>
      </c>
      <c r="O124" s="5">
        <v>-296549</v>
      </c>
      <c r="P124" s="6">
        <v>-1.7498853477840086</v>
      </c>
      <c r="Q124" s="1"/>
      <c r="R124" s="7" t="e">
        <f ca="1">_xll.SNL.Clients.Office.Excel.Functions.SPG(A124, "SP_TOTAL_DEBT", "LTM")</f>
        <v>#NAME?</v>
      </c>
      <c r="S124" s="8" t="e">
        <f ca="1">_xll.SNL.Clients.Office.Excel.Functions.SPG(A124, "SP_DEBT_TO_EQUITY", "LTM")</f>
        <v>#NAME?</v>
      </c>
      <c r="U124" s="9" t="e">
        <f t="shared" ca="1" si="1"/>
        <v>#NAME?</v>
      </c>
      <c r="Y124" s="1"/>
      <c r="Z124" s="1"/>
      <c r="AA124" s="10"/>
      <c r="AB124" s="1" t="s">
        <v>290</v>
      </c>
      <c r="AC124" s="1" t="s">
        <v>57</v>
      </c>
      <c r="AD124" s="10">
        <v>40047.664786469999</v>
      </c>
      <c r="AE124" s="1" t="s">
        <v>25</v>
      </c>
    </row>
    <row r="125" spans="1:31" x14ac:dyDescent="0.2">
      <c r="A125" s="1" t="s">
        <v>291</v>
      </c>
      <c r="B125" s="2">
        <v>3.391</v>
      </c>
      <c r="C125" s="3" t="s">
        <v>1409</v>
      </c>
      <c r="D125" s="2">
        <v>66.253</v>
      </c>
      <c r="E125" s="2">
        <v>190.12048200000001</v>
      </c>
      <c r="F125" s="4">
        <v>3.3780000000000001</v>
      </c>
      <c r="G125" s="4">
        <v>-0.70696101382795395</v>
      </c>
      <c r="H125" s="2">
        <v>2.0409999999999999</v>
      </c>
      <c r="I125" s="4">
        <v>0.186</v>
      </c>
      <c r="J125" s="4" t="s">
        <v>1408</v>
      </c>
      <c r="K125" s="4">
        <v>4.6631210000000003</v>
      </c>
      <c r="L125" s="4">
        <v>15.652773</v>
      </c>
      <c r="N125" s="5">
        <v>961965.25</v>
      </c>
      <c r="O125" s="5">
        <v>141339</v>
      </c>
      <c r="P125" s="6">
        <v>6.8060850154592858</v>
      </c>
      <c r="Q125" s="1"/>
      <c r="R125" s="7" t="e">
        <f ca="1">_xll.SNL.Clients.Office.Excel.Functions.SPG(A125, "SP_TOTAL_DEBT", "LTM")</f>
        <v>#NAME?</v>
      </c>
      <c r="S125" s="8" t="e">
        <f ca="1">_xll.SNL.Clients.Office.Excel.Functions.SPG(A125, "SP_DEBT_TO_EQUITY", "LTM")</f>
        <v>#NAME?</v>
      </c>
      <c r="U125" s="9" t="e">
        <f t="shared" ca="1" si="1"/>
        <v>#NAME?</v>
      </c>
      <c r="Y125" s="1"/>
      <c r="Z125" s="1"/>
      <c r="AA125" s="10"/>
      <c r="AB125" s="1" t="s">
        <v>292</v>
      </c>
      <c r="AC125" s="1" t="s">
        <v>37</v>
      </c>
      <c r="AD125" s="10">
        <v>7082.3328710400001</v>
      </c>
      <c r="AE125" s="1" t="s">
        <v>25</v>
      </c>
    </row>
    <row r="126" spans="1:31" x14ac:dyDescent="0.2">
      <c r="A126" s="1" t="s">
        <v>293</v>
      </c>
      <c r="B126" s="2" t="s">
        <v>1408</v>
      </c>
      <c r="C126" s="3">
        <v>4.4270833333333304</v>
      </c>
      <c r="D126" s="2">
        <v>10.494999999999999</v>
      </c>
      <c r="E126" s="2">
        <v>10.125935</v>
      </c>
      <c r="F126" s="4">
        <v>1.0880000000000001</v>
      </c>
      <c r="G126" s="4">
        <v>10.823722552507601</v>
      </c>
      <c r="H126" s="2" t="s">
        <v>1408</v>
      </c>
      <c r="I126" s="4" t="s">
        <v>1408</v>
      </c>
      <c r="J126" s="4">
        <v>35.410848411889297</v>
      </c>
      <c r="K126" s="4">
        <v>1.0259750000000001</v>
      </c>
      <c r="L126" s="4" t="s">
        <v>1408</v>
      </c>
      <c r="N126" s="5" t="s">
        <v>1408</v>
      </c>
      <c r="O126" s="5">
        <v>531133</v>
      </c>
      <c r="P126" s="6" t="e">
        <v>#VALUE!</v>
      </c>
      <c r="Q126" s="1"/>
      <c r="R126" s="7" t="e">
        <f ca="1">_xll.SNL.Clients.Office.Excel.Functions.SPG(A126, "SP_TOTAL_DEBT", "LTM")</f>
        <v>#NAME?</v>
      </c>
      <c r="S126" s="8" t="e">
        <f ca="1">_xll.SNL.Clients.Office.Excel.Functions.SPG(A126, "SP_DEBT_TO_EQUITY", "LTM")</f>
        <v>#NAME?</v>
      </c>
      <c r="U126" s="9" t="e">
        <f t="shared" ca="1" si="1"/>
        <v>#VALUE!</v>
      </c>
      <c r="Y126" s="1"/>
      <c r="Z126" s="1"/>
      <c r="AA126" s="10"/>
      <c r="AB126" s="1" t="s">
        <v>294</v>
      </c>
      <c r="AC126" s="1" t="s">
        <v>34</v>
      </c>
      <c r="AD126" s="10">
        <v>5505.3401856</v>
      </c>
      <c r="AE126" s="1" t="s">
        <v>25</v>
      </c>
    </row>
    <row r="127" spans="1:31" x14ac:dyDescent="0.2">
      <c r="A127" s="1" t="s">
        <v>295</v>
      </c>
      <c r="B127" s="2">
        <v>6.0129999999999999</v>
      </c>
      <c r="C127" s="3" t="s">
        <v>1408</v>
      </c>
      <c r="D127" s="2">
        <v>2.7090000000000001</v>
      </c>
      <c r="E127" s="2" t="s">
        <v>1408</v>
      </c>
      <c r="F127" s="4">
        <v>2.044</v>
      </c>
      <c r="G127" s="4" t="s">
        <v>1408</v>
      </c>
      <c r="H127" s="2">
        <v>1.3440000000000001</v>
      </c>
      <c r="I127" s="4">
        <v>0.27700000000000002</v>
      </c>
      <c r="J127" s="4" t="s">
        <v>1408</v>
      </c>
      <c r="K127" s="4" t="s">
        <v>1408</v>
      </c>
      <c r="L127" s="4" t="s">
        <v>1408</v>
      </c>
      <c r="N127" s="5">
        <v>43231</v>
      </c>
      <c r="O127" s="5">
        <v>2680</v>
      </c>
      <c r="P127" s="6">
        <v>16.130970149253731</v>
      </c>
      <c r="Q127" s="1"/>
      <c r="R127" s="7" t="e">
        <f ca="1">_xll.SNL.Clients.Office.Excel.Functions.SPG(A127, "SP_TOTAL_DEBT", "LTM")</f>
        <v>#NAME?</v>
      </c>
      <c r="S127" s="8" t="e">
        <f ca="1">_xll.SNL.Clients.Office.Excel.Functions.SPG(A127, "SP_DEBT_TO_EQUITY", "LTM")</f>
        <v>#NAME?</v>
      </c>
      <c r="U127" s="9" t="e">
        <f t="shared" ca="1" si="1"/>
        <v>#NAME?</v>
      </c>
      <c r="Y127" s="1"/>
      <c r="Z127" s="1"/>
      <c r="AA127" s="10"/>
      <c r="AB127" s="1" t="s">
        <v>296</v>
      </c>
      <c r="AC127" s="1" t="s">
        <v>167</v>
      </c>
      <c r="AD127" s="10">
        <v>596.39041497350695</v>
      </c>
      <c r="AE127" s="1" t="s">
        <v>25</v>
      </c>
    </row>
    <row r="128" spans="1:31" x14ac:dyDescent="0.2">
      <c r="A128" s="1" t="s">
        <v>297</v>
      </c>
      <c r="B128" s="2">
        <v>16.367999999999999</v>
      </c>
      <c r="C128" s="3" t="s">
        <v>1408</v>
      </c>
      <c r="D128" s="2">
        <v>5.3639999999999999</v>
      </c>
      <c r="E128" s="2">
        <v>13.942880000000001</v>
      </c>
      <c r="F128" s="4">
        <v>13.321</v>
      </c>
      <c r="G128" s="4">
        <v>23.992978658578199</v>
      </c>
      <c r="H128" s="2">
        <v>4.6159999999999997</v>
      </c>
      <c r="I128" s="4">
        <v>0.434</v>
      </c>
      <c r="J128" s="4">
        <v>55.6332938726961</v>
      </c>
      <c r="K128" s="4">
        <v>2.867515</v>
      </c>
      <c r="L128" s="4">
        <v>8.95547</v>
      </c>
      <c r="N128" s="5">
        <v>1334120.25</v>
      </c>
      <c r="O128" s="5">
        <v>1638522</v>
      </c>
      <c r="P128" s="6">
        <v>0.81422174984528739</v>
      </c>
      <c r="Q128" s="1"/>
      <c r="R128" s="7" t="e">
        <f ca="1">_xll.SNL.Clients.Office.Excel.Functions.SPG(A128, "SP_TOTAL_DEBT", "LTM")</f>
        <v>#NAME?</v>
      </c>
      <c r="S128" s="8" t="e">
        <f ca="1">_xll.SNL.Clients.Office.Excel.Functions.SPG(A128, "SP_DEBT_TO_EQUITY", "LTM")</f>
        <v>#NAME?</v>
      </c>
      <c r="U128" s="9" t="e">
        <f t="shared" ca="1" si="1"/>
        <v>#NAME?</v>
      </c>
      <c r="Y128" s="1"/>
      <c r="Z128" s="1"/>
      <c r="AA128" s="10"/>
      <c r="AB128" s="1" t="s">
        <v>298</v>
      </c>
      <c r="AC128" s="1" t="s">
        <v>177</v>
      </c>
      <c r="AD128" s="10">
        <v>1157.34472981463</v>
      </c>
      <c r="AE128" s="1" t="s">
        <v>42</v>
      </c>
    </row>
    <row r="129" spans="1:31" x14ac:dyDescent="0.2">
      <c r="A129" s="1" t="s">
        <v>299</v>
      </c>
      <c r="B129" s="2">
        <v>4.274</v>
      </c>
      <c r="C129" s="3" t="s">
        <v>1408</v>
      </c>
      <c r="D129" s="2">
        <v>-4.9420000000000002</v>
      </c>
      <c r="E129" s="2">
        <v>48.672217000000003</v>
      </c>
      <c r="F129" s="4">
        <v>2.19</v>
      </c>
      <c r="G129" s="4" t="s">
        <v>1408</v>
      </c>
      <c r="H129" s="2">
        <v>1.1599999999999999</v>
      </c>
      <c r="I129" s="4">
        <v>5.8999999999999997E-2</v>
      </c>
      <c r="J129" s="4" t="s">
        <v>1408</v>
      </c>
      <c r="K129" s="4">
        <v>7.1389300000000002</v>
      </c>
      <c r="L129" s="4">
        <v>61.053185999999997</v>
      </c>
      <c r="N129" s="5">
        <v>142942091.73100001</v>
      </c>
      <c r="O129" s="5">
        <v>19354215.127</v>
      </c>
      <c r="P129" s="6">
        <v>7.3855793579347662</v>
      </c>
      <c r="Q129" s="1"/>
      <c r="R129" s="7" t="e">
        <f ca="1">_xll.SNL.Clients.Office.Excel.Functions.SPG(A129, "SP_TOTAL_DEBT", "LTM")</f>
        <v>#NAME?</v>
      </c>
      <c r="S129" s="8" t="e">
        <f ca="1">_xll.SNL.Clients.Office.Excel.Functions.SPG(A129, "SP_DEBT_TO_EQUITY", "LTM")</f>
        <v>#NAME?</v>
      </c>
      <c r="U129" s="9" t="e">
        <f t="shared" ca="1" si="1"/>
        <v>#NAME?</v>
      </c>
      <c r="Y129" s="1"/>
      <c r="Z129" s="1"/>
      <c r="AA129" s="10"/>
      <c r="AB129" s="1" t="s">
        <v>300</v>
      </c>
      <c r="AC129" s="1" t="s">
        <v>177</v>
      </c>
      <c r="AD129" s="10">
        <v>1064.03933434191</v>
      </c>
      <c r="AE129" s="1" t="s">
        <v>42</v>
      </c>
    </row>
    <row r="130" spans="1:31" x14ac:dyDescent="0.2">
      <c r="A130" s="1" t="s">
        <v>301</v>
      </c>
      <c r="B130" s="2" t="s">
        <v>1408</v>
      </c>
      <c r="C130" s="3" t="s">
        <v>1408</v>
      </c>
      <c r="D130" s="2">
        <v>80.468999999999994</v>
      </c>
      <c r="E130" s="2" t="s">
        <v>1408</v>
      </c>
      <c r="F130" s="4">
        <v>1.6659999999999999</v>
      </c>
      <c r="G130" s="4" t="s">
        <v>1408</v>
      </c>
      <c r="H130" s="2">
        <v>1.0880000000000001</v>
      </c>
      <c r="I130" s="4">
        <v>0.57599999999999996</v>
      </c>
      <c r="J130" s="4" t="s">
        <v>1408</v>
      </c>
      <c r="K130" s="4">
        <v>2.0094650000000001</v>
      </c>
      <c r="L130" s="4" t="s">
        <v>1408</v>
      </c>
      <c r="N130" s="5" t="s">
        <v>1408</v>
      </c>
      <c r="O130" s="5">
        <v>155084</v>
      </c>
      <c r="P130" s="6" t="e">
        <v>#VALUE!</v>
      </c>
      <c r="Q130" s="1"/>
      <c r="R130" s="7" t="e">
        <f ca="1">_xll.SNL.Clients.Office.Excel.Functions.SPG(A130, "SP_TOTAL_DEBT", "LTM")</f>
        <v>#NAME?</v>
      </c>
      <c r="S130" s="8" t="e">
        <f ca="1">_xll.SNL.Clients.Office.Excel.Functions.SPG(A130, "SP_DEBT_TO_EQUITY", "LTM")</f>
        <v>#NAME?</v>
      </c>
      <c r="U130" s="9" t="e">
        <f t="shared" ca="1" si="1"/>
        <v>#VALUE!</v>
      </c>
      <c r="Y130" s="1"/>
      <c r="Z130" s="1"/>
      <c r="AA130" s="10"/>
      <c r="AB130" s="1" t="s">
        <v>302</v>
      </c>
      <c r="AC130" s="1" t="s">
        <v>174</v>
      </c>
      <c r="AD130" s="10">
        <v>338.33202148227701</v>
      </c>
      <c r="AE130" s="1" t="s">
        <v>42</v>
      </c>
    </row>
    <row r="131" spans="1:31" x14ac:dyDescent="0.2">
      <c r="A131" s="1" t="s">
        <v>303</v>
      </c>
      <c r="B131" s="2" t="s">
        <v>1408</v>
      </c>
      <c r="C131" s="3">
        <v>-86.6069733098347</v>
      </c>
      <c r="D131" s="2">
        <v>-11.972</v>
      </c>
      <c r="E131" s="2" t="s">
        <v>1408</v>
      </c>
      <c r="F131" s="4">
        <v>0.5</v>
      </c>
      <c r="G131" s="4">
        <v>3.8764311349463001</v>
      </c>
      <c r="H131" s="2" t="s">
        <v>1408</v>
      </c>
      <c r="I131" s="4" t="s">
        <v>1408</v>
      </c>
      <c r="J131" s="4" t="s">
        <v>1408</v>
      </c>
      <c r="K131" s="4">
        <v>1.652199</v>
      </c>
      <c r="L131" s="4" t="s">
        <v>1408</v>
      </c>
      <c r="N131" s="5" t="s">
        <v>1408</v>
      </c>
      <c r="O131" s="5">
        <v>221241</v>
      </c>
      <c r="P131" s="6" t="e">
        <v>#VALUE!</v>
      </c>
      <c r="Q131" s="1"/>
      <c r="R131" s="7" t="e">
        <f ca="1">_xll.SNL.Clients.Office.Excel.Functions.SPG(A131, "SP_TOTAL_DEBT", "LTM")</f>
        <v>#NAME?</v>
      </c>
      <c r="S131" s="8" t="e">
        <f ca="1">_xll.SNL.Clients.Office.Excel.Functions.SPG(A131, "SP_DEBT_TO_EQUITY", "LTM")</f>
        <v>#NAME?</v>
      </c>
      <c r="U131" s="9" t="e">
        <f t="shared" ref="U131:U194" ca="1" si="2">N131/R131</f>
        <v>#VALUE!</v>
      </c>
      <c r="Y131" s="1"/>
      <c r="Z131" s="1"/>
      <c r="AA131" s="10"/>
      <c r="AB131" s="1" t="s">
        <v>304</v>
      </c>
      <c r="AC131" s="1" t="s">
        <v>34</v>
      </c>
      <c r="AD131" s="10">
        <v>922.45307338426903</v>
      </c>
      <c r="AE131" s="1" t="s">
        <v>42</v>
      </c>
    </row>
    <row r="132" spans="1:31" x14ac:dyDescent="0.2">
      <c r="A132" s="1" t="s">
        <v>305</v>
      </c>
      <c r="B132" s="2" t="s">
        <v>1408</v>
      </c>
      <c r="C132" s="3">
        <v>229.75391498881399</v>
      </c>
      <c r="D132" s="2">
        <v>37.097000000000001</v>
      </c>
      <c r="E132" s="2">
        <v>2.3871869999999999</v>
      </c>
      <c r="F132" s="4">
        <v>3.036</v>
      </c>
      <c r="G132" s="4">
        <v>26.330506532202602</v>
      </c>
      <c r="H132" s="2">
        <v>1.1759999999999999</v>
      </c>
      <c r="I132" s="4">
        <v>0.126</v>
      </c>
      <c r="J132" s="4">
        <v>18.181818181818201</v>
      </c>
      <c r="K132" s="4">
        <v>0.57916199999999995</v>
      </c>
      <c r="L132" s="4" t="s">
        <v>1408</v>
      </c>
      <c r="N132" s="5" t="s">
        <v>1408</v>
      </c>
      <c r="O132" s="5">
        <v>718000</v>
      </c>
      <c r="P132" s="6" t="e">
        <v>#VALUE!</v>
      </c>
      <c r="Q132" s="1"/>
      <c r="R132" s="7" t="e">
        <f ca="1">_xll.SNL.Clients.Office.Excel.Functions.SPG(A132, "SP_TOTAL_DEBT", "LTM")</f>
        <v>#NAME?</v>
      </c>
      <c r="S132" s="8" t="e">
        <f ca="1">_xll.SNL.Clients.Office.Excel.Functions.SPG(A132, "SP_DEBT_TO_EQUITY", "LTM")</f>
        <v>#NAME?</v>
      </c>
      <c r="U132" s="9" t="e">
        <f t="shared" ca="1" si="2"/>
        <v>#VALUE!</v>
      </c>
      <c r="Y132" s="1"/>
      <c r="Z132" s="1"/>
      <c r="AA132" s="10"/>
      <c r="AB132" s="1" t="s">
        <v>306</v>
      </c>
      <c r="AC132" s="1" t="s">
        <v>82</v>
      </c>
      <c r="AD132" s="10">
        <v>1789.2217687499999</v>
      </c>
      <c r="AE132" s="1" t="s">
        <v>25</v>
      </c>
    </row>
    <row r="133" spans="1:31" x14ac:dyDescent="0.2">
      <c r="A133" s="1" t="s">
        <v>307</v>
      </c>
      <c r="B133" s="2">
        <v>21.847999999999999</v>
      </c>
      <c r="C133" s="3" t="s">
        <v>1408</v>
      </c>
      <c r="D133" s="2">
        <v>-10.321999999999999</v>
      </c>
      <c r="E133" s="2" t="s">
        <v>1409</v>
      </c>
      <c r="F133" s="4">
        <v>-2.3780000000000001</v>
      </c>
      <c r="G133" s="4" t="s">
        <v>1408</v>
      </c>
      <c r="H133" s="2">
        <v>0.99399999999999999</v>
      </c>
      <c r="I133" s="4">
        <v>0.20100000000000001</v>
      </c>
      <c r="J133" s="4" t="s">
        <v>1408</v>
      </c>
      <c r="K133" s="4">
        <v>4.2532909999999999</v>
      </c>
      <c r="L133" s="4" t="s">
        <v>1409</v>
      </c>
      <c r="N133" s="5">
        <v>17908.25</v>
      </c>
      <c r="O133" s="5">
        <v>-69841</v>
      </c>
      <c r="P133" s="6">
        <v>-0.25641457023811226</v>
      </c>
      <c r="Q133" s="1"/>
      <c r="R133" s="7" t="e">
        <f ca="1">_xll.SNL.Clients.Office.Excel.Functions.SPG(A133, "SP_TOTAL_DEBT", "LTM")</f>
        <v>#NAME?</v>
      </c>
      <c r="S133" s="8" t="e">
        <f ca="1">_xll.SNL.Clients.Office.Excel.Functions.SPG(A133, "SP_DEBT_TO_EQUITY", "LTM")</f>
        <v>#NAME?</v>
      </c>
      <c r="U133" s="9" t="e">
        <f t="shared" ca="1" si="2"/>
        <v>#NAME?</v>
      </c>
      <c r="Y133" s="1"/>
      <c r="Z133" s="1"/>
      <c r="AA133" s="10"/>
      <c r="AB133" s="1" t="s">
        <v>308</v>
      </c>
      <c r="AC133" s="1" t="s">
        <v>37</v>
      </c>
      <c r="AD133" s="10">
        <v>393.62928354000002</v>
      </c>
      <c r="AE133" s="1" t="s">
        <v>25</v>
      </c>
    </row>
    <row r="134" spans="1:31" x14ac:dyDescent="0.2">
      <c r="A134" s="1" t="s">
        <v>309</v>
      </c>
      <c r="B134" s="2" t="s">
        <v>1408</v>
      </c>
      <c r="C134" s="3">
        <v>-26.162790697674399</v>
      </c>
      <c r="D134" s="2">
        <v>-12.57</v>
      </c>
      <c r="E134" s="2">
        <v>9.2755910000000004</v>
      </c>
      <c r="F134" s="4">
        <v>0.89200000000000002</v>
      </c>
      <c r="G134" s="4">
        <v>9.7349918875067605</v>
      </c>
      <c r="H134" s="2" t="s">
        <v>1408</v>
      </c>
      <c r="I134" s="4" t="s">
        <v>1408</v>
      </c>
      <c r="J134" s="4">
        <v>47.050134288272197</v>
      </c>
      <c r="K134" s="4">
        <v>0.91056700000000002</v>
      </c>
      <c r="L134" s="4" t="s">
        <v>1408</v>
      </c>
      <c r="N134" s="5" t="s">
        <v>1408</v>
      </c>
      <c r="O134" s="5">
        <v>39960</v>
      </c>
      <c r="P134" s="6" t="e">
        <v>#VALUE!</v>
      </c>
      <c r="Q134" s="1"/>
      <c r="R134" s="7" t="e">
        <f ca="1">_xll.SNL.Clients.Office.Excel.Functions.SPG(A134, "SP_TOTAL_DEBT", "LTM")</f>
        <v>#NAME?</v>
      </c>
      <c r="S134" s="8" t="e">
        <f ca="1">_xll.SNL.Clients.Office.Excel.Functions.SPG(A134, "SP_DEBT_TO_EQUITY", "LTM")</f>
        <v>#NAME?</v>
      </c>
      <c r="U134" s="9" t="e">
        <f t="shared" ca="1" si="2"/>
        <v>#VALUE!</v>
      </c>
      <c r="Y134" s="1"/>
      <c r="Z134" s="1"/>
      <c r="AA134" s="10"/>
      <c r="AB134" s="1" t="s">
        <v>310</v>
      </c>
      <c r="AC134" s="1" t="s">
        <v>34</v>
      </c>
      <c r="AD134" s="10">
        <v>347.13955214999999</v>
      </c>
      <c r="AE134" s="1" t="s">
        <v>25</v>
      </c>
    </row>
    <row r="135" spans="1:31" x14ac:dyDescent="0.2">
      <c r="A135" s="1" t="s">
        <v>311</v>
      </c>
      <c r="B135" s="2">
        <v>-3.7999999999999999E-2</v>
      </c>
      <c r="C135" s="3">
        <v>178.955954323002</v>
      </c>
      <c r="D135" s="2">
        <v>18.593</v>
      </c>
      <c r="E135" s="2" t="s">
        <v>1409</v>
      </c>
      <c r="F135" s="4">
        <v>-1.4039999999999999</v>
      </c>
      <c r="G135" s="4">
        <v>59.247959728472303</v>
      </c>
      <c r="H135" s="2">
        <v>1.7310000000000001</v>
      </c>
      <c r="I135" s="4">
        <v>1.9E-2</v>
      </c>
      <c r="J135" s="4" t="s">
        <v>1408</v>
      </c>
      <c r="K135" s="4">
        <v>0.81861099999999998</v>
      </c>
      <c r="L135" s="4" t="s">
        <v>1408</v>
      </c>
      <c r="N135" s="5">
        <v>-588375</v>
      </c>
      <c r="O135" s="5">
        <v>-54000</v>
      </c>
      <c r="P135" s="6">
        <v>10.895833333333334</v>
      </c>
      <c r="Q135" s="1"/>
      <c r="R135" s="7" t="e">
        <f ca="1">_xll.SNL.Clients.Office.Excel.Functions.SPG(A135, "SP_TOTAL_DEBT", "LTM")</f>
        <v>#NAME?</v>
      </c>
      <c r="S135" s="8" t="e">
        <f ca="1">_xll.SNL.Clients.Office.Excel.Functions.SPG(A135, "SP_DEBT_TO_EQUITY", "LTM")</f>
        <v>#NAME?</v>
      </c>
      <c r="U135" s="9" t="e">
        <f t="shared" ca="1" si="2"/>
        <v>#NAME?</v>
      </c>
      <c r="Y135" s="1"/>
      <c r="Z135" s="1"/>
      <c r="AA135" s="10"/>
      <c r="AB135" s="1" t="s">
        <v>312</v>
      </c>
      <c r="AC135" s="1" t="s">
        <v>60</v>
      </c>
      <c r="AD135" s="10">
        <v>3323.8823924600001</v>
      </c>
      <c r="AE135" s="1" t="s">
        <v>25</v>
      </c>
    </row>
    <row r="136" spans="1:31" x14ac:dyDescent="0.2">
      <c r="A136" s="1" t="s">
        <v>313</v>
      </c>
      <c r="B136" s="2">
        <v>27.024999999999999</v>
      </c>
      <c r="C136" s="3" t="s">
        <v>1408</v>
      </c>
      <c r="D136" s="2">
        <v>-19.908000000000001</v>
      </c>
      <c r="E136" s="2">
        <v>11.916376</v>
      </c>
      <c r="F136" s="4" t="s">
        <v>1408</v>
      </c>
      <c r="G136" s="4">
        <v>986.76470588235304</v>
      </c>
      <c r="H136" s="2" t="s">
        <v>1408</v>
      </c>
      <c r="I136" s="4" t="s">
        <v>1408</v>
      </c>
      <c r="J136" s="4" t="s">
        <v>1408</v>
      </c>
      <c r="K136" s="4">
        <v>37.173912999999999</v>
      </c>
      <c r="L136" s="4">
        <v>7.3292820000000001</v>
      </c>
      <c r="N136" s="5" t="s">
        <v>1408</v>
      </c>
      <c r="O136" s="5">
        <v>67100</v>
      </c>
      <c r="P136" s="6" t="e">
        <v>#VALUE!</v>
      </c>
      <c r="Q136" s="1"/>
      <c r="R136" s="7" t="e">
        <f ca="1">_xll.SNL.Clients.Office.Excel.Functions.SPG(A136, "SP_TOTAL_DEBT", "LTM")</f>
        <v>#NAME?</v>
      </c>
      <c r="S136" s="8" t="e">
        <f ca="1">_xll.SNL.Clients.Office.Excel.Functions.SPG(A136, "SP_DEBT_TO_EQUITY", "LTM")</f>
        <v>#NAME?</v>
      </c>
      <c r="U136" s="9" t="e">
        <f t="shared" ca="1" si="2"/>
        <v>#VALUE!</v>
      </c>
      <c r="Y136" s="1"/>
      <c r="Z136" s="1"/>
      <c r="AA136" s="10"/>
      <c r="AB136" s="1" t="s">
        <v>314</v>
      </c>
      <c r="AC136" s="1" t="s">
        <v>37</v>
      </c>
      <c r="AD136" s="10">
        <v>918.16014528000005</v>
      </c>
      <c r="AE136" s="1" t="s">
        <v>25</v>
      </c>
    </row>
    <row r="137" spans="1:31" x14ac:dyDescent="0.2">
      <c r="A137" s="1" t="s">
        <v>315</v>
      </c>
      <c r="B137" s="2">
        <v>2.298</v>
      </c>
      <c r="C137" s="3" t="s">
        <v>1409</v>
      </c>
      <c r="D137" s="2">
        <v>12.061999999999999</v>
      </c>
      <c r="E137" s="2">
        <v>191.944444</v>
      </c>
      <c r="F137" s="4">
        <v>2.5619999999999998</v>
      </c>
      <c r="G137" s="4">
        <v>3.2309238963572202</v>
      </c>
      <c r="H137" s="2">
        <v>45.420999999999999</v>
      </c>
      <c r="I137" s="4">
        <v>8.2000000000000003E-2</v>
      </c>
      <c r="J137" s="4" t="s">
        <v>1408</v>
      </c>
      <c r="K137" s="4">
        <v>0.68348200000000003</v>
      </c>
      <c r="L137" s="4">
        <v>14.601246</v>
      </c>
      <c r="N137" s="5">
        <v>919375.125</v>
      </c>
      <c r="O137" s="5">
        <v>4919</v>
      </c>
      <c r="P137" s="6">
        <v>186.9028511892661</v>
      </c>
      <c r="Q137" s="1"/>
      <c r="R137" s="7" t="e">
        <f ca="1">_xll.SNL.Clients.Office.Excel.Functions.SPG(A137, "SP_TOTAL_DEBT", "LTM")</f>
        <v>#NAME?</v>
      </c>
      <c r="S137" s="8" t="e">
        <f ca="1">_xll.SNL.Clients.Office.Excel.Functions.SPG(A137, "SP_DEBT_TO_EQUITY", "LTM")</f>
        <v>#NAME?</v>
      </c>
      <c r="U137" s="9" t="e">
        <f t="shared" ca="1" si="2"/>
        <v>#NAME?</v>
      </c>
      <c r="Y137" s="1"/>
      <c r="Z137" s="1"/>
      <c r="AA137" s="10"/>
      <c r="AB137" s="1" t="s">
        <v>316</v>
      </c>
      <c r="AC137" s="1" t="s">
        <v>65</v>
      </c>
      <c r="AD137" s="10">
        <v>929.39351505000002</v>
      </c>
      <c r="AE137" s="1" t="s">
        <v>25</v>
      </c>
    </row>
    <row r="138" spans="1:31" x14ac:dyDescent="0.2">
      <c r="A138" s="1" t="s">
        <v>317</v>
      </c>
      <c r="B138" s="2">
        <v>9.8539999999999992</v>
      </c>
      <c r="C138" s="3">
        <v>16.4835164835165</v>
      </c>
      <c r="D138" s="2">
        <v>6.1619999999999999</v>
      </c>
      <c r="E138" s="2" t="s">
        <v>1408</v>
      </c>
      <c r="F138" s="4">
        <v>7.8940000000000001</v>
      </c>
      <c r="G138" s="4">
        <v>32.467290080511802</v>
      </c>
      <c r="H138" s="2">
        <v>1.4039999999999999</v>
      </c>
      <c r="I138" s="4">
        <v>0.78800000000000003</v>
      </c>
      <c r="J138" s="4" t="s">
        <v>1408</v>
      </c>
      <c r="K138" s="4" t="s">
        <v>1408</v>
      </c>
      <c r="L138" s="4" t="s">
        <v>1408</v>
      </c>
      <c r="N138" s="5">
        <v>943562.5</v>
      </c>
      <c r="O138" s="5">
        <v>683800</v>
      </c>
      <c r="P138" s="6">
        <v>1.3798808131032465</v>
      </c>
      <c r="Q138" s="1"/>
      <c r="R138" s="7" t="e">
        <f ca="1">_xll.SNL.Clients.Office.Excel.Functions.SPG(A138, "SP_TOTAL_DEBT", "LTM")</f>
        <v>#NAME?</v>
      </c>
      <c r="S138" s="8" t="e">
        <f ca="1">_xll.SNL.Clients.Office.Excel.Functions.SPG(A138, "SP_DEBT_TO_EQUITY", "LTM")</f>
        <v>#NAME?</v>
      </c>
      <c r="U138" s="9" t="e">
        <f t="shared" ca="1" si="2"/>
        <v>#NAME?</v>
      </c>
      <c r="Y138" s="1"/>
      <c r="Z138" s="1"/>
      <c r="AA138" s="10"/>
      <c r="AB138" s="1" t="s">
        <v>318</v>
      </c>
      <c r="AC138" s="1" t="s">
        <v>319</v>
      </c>
      <c r="AD138" s="10">
        <v>24023.525159600002</v>
      </c>
      <c r="AE138" s="1" t="s">
        <v>25</v>
      </c>
    </row>
    <row r="139" spans="1:31" x14ac:dyDescent="0.2">
      <c r="A139" s="1" t="s">
        <v>320</v>
      </c>
      <c r="B139" s="2">
        <v>15.785</v>
      </c>
      <c r="C139" s="3" t="s">
        <v>1408</v>
      </c>
      <c r="D139" s="2">
        <v>11.993</v>
      </c>
      <c r="E139" s="2">
        <v>7.843388</v>
      </c>
      <c r="F139" s="4">
        <v>11.523</v>
      </c>
      <c r="G139" s="4" t="s">
        <v>1408</v>
      </c>
      <c r="H139" s="2">
        <v>7.1980000000000004</v>
      </c>
      <c r="I139" s="4">
        <v>0.28599999999999998</v>
      </c>
      <c r="J139" s="4" t="s">
        <v>1408</v>
      </c>
      <c r="K139" s="4">
        <v>1.6763380000000001</v>
      </c>
      <c r="L139" s="4">
        <v>5.193632</v>
      </c>
      <c r="N139" s="5" t="s">
        <v>1408</v>
      </c>
      <c r="O139" s="5">
        <v>2137000</v>
      </c>
      <c r="P139" s="6" t="e">
        <v>#VALUE!</v>
      </c>
      <c r="Q139" s="1"/>
      <c r="R139" s="7" t="e">
        <f ca="1">_xll.SNL.Clients.Office.Excel.Functions.SPG(A139, "SP_TOTAL_DEBT", "LTM")</f>
        <v>#NAME?</v>
      </c>
      <c r="S139" s="8" t="e">
        <f ca="1">_xll.SNL.Clients.Office.Excel.Functions.SPG(A139, "SP_DEBT_TO_EQUITY", "LTM")</f>
        <v>#NAME?</v>
      </c>
      <c r="U139" s="9" t="e">
        <f t="shared" ca="1" si="2"/>
        <v>#VALUE!</v>
      </c>
      <c r="Y139" s="1"/>
      <c r="Z139" s="1"/>
      <c r="AA139" s="10"/>
      <c r="AB139" s="1" t="s">
        <v>321</v>
      </c>
      <c r="AC139" s="1" t="s">
        <v>37</v>
      </c>
      <c r="AD139" s="10">
        <v>15770.611224271101</v>
      </c>
      <c r="AE139" s="1" t="s">
        <v>25</v>
      </c>
    </row>
    <row r="140" spans="1:31" x14ac:dyDescent="0.2">
      <c r="A140" s="1" t="s">
        <v>322</v>
      </c>
      <c r="B140" s="2">
        <v>9.2959999999999994</v>
      </c>
      <c r="C140" s="3" t="s">
        <v>1409</v>
      </c>
      <c r="D140" s="2">
        <v>-26.652999999999999</v>
      </c>
      <c r="E140" s="2">
        <v>8.6839220000000008</v>
      </c>
      <c r="F140" s="4">
        <v>1.3520000000000001</v>
      </c>
      <c r="G140" s="4">
        <v>17.829316905236499</v>
      </c>
      <c r="H140" s="2">
        <v>1.331</v>
      </c>
      <c r="I140" s="4">
        <v>0.153</v>
      </c>
      <c r="J140" s="4" t="s">
        <v>1408</v>
      </c>
      <c r="K140" s="4">
        <v>1.077426</v>
      </c>
      <c r="L140" s="4">
        <v>7.7392630000000002</v>
      </c>
      <c r="N140" s="5">
        <v>4456625</v>
      </c>
      <c r="O140" s="5">
        <v>484000</v>
      </c>
      <c r="P140" s="6">
        <v>9.2079028925619841</v>
      </c>
      <c r="Q140" s="1"/>
      <c r="R140" s="7" t="e">
        <f ca="1">_xll.SNL.Clients.Office.Excel.Functions.SPG(A140, "SP_TOTAL_DEBT", "LTM")</f>
        <v>#NAME?</v>
      </c>
      <c r="S140" s="8" t="e">
        <f ca="1">_xll.SNL.Clients.Office.Excel.Functions.SPG(A140, "SP_DEBT_TO_EQUITY", "LTM")</f>
        <v>#NAME?</v>
      </c>
      <c r="U140" s="9" t="e">
        <f t="shared" ca="1" si="2"/>
        <v>#NAME?</v>
      </c>
      <c r="Y140" s="1"/>
      <c r="Z140" s="1"/>
      <c r="AA140" s="10"/>
      <c r="AB140" s="1" t="s">
        <v>323</v>
      </c>
      <c r="AC140" s="1" t="s">
        <v>324</v>
      </c>
      <c r="AD140" s="10">
        <v>5753.1698982941998</v>
      </c>
      <c r="AE140" s="1" t="s">
        <v>25</v>
      </c>
    </row>
    <row r="141" spans="1:31" x14ac:dyDescent="0.2">
      <c r="A141" s="1" t="s">
        <v>325</v>
      </c>
      <c r="B141" s="2" t="s">
        <v>1408</v>
      </c>
      <c r="C141" s="3">
        <v>-40.1408450704225</v>
      </c>
      <c r="D141" s="2">
        <v>4.3650000000000002</v>
      </c>
      <c r="E141" s="2">
        <v>11.694118</v>
      </c>
      <c r="F141" s="4">
        <v>0.72899999999999998</v>
      </c>
      <c r="G141" s="4">
        <v>6.4205645720508198</v>
      </c>
      <c r="H141" s="2" t="s">
        <v>1408</v>
      </c>
      <c r="I141" s="4" t="s">
        <v>1408</v>
      </c>
      <c r="J141" s="4">
        <v>26.928888660624299</v>
      </c>
      <c r="K141" s="4">
        <v>0.73716999999999999</v>
      </c>
      <c r="L141" s="4" t="s">
        <v>1408</v>
      </c>
      <c r="N141" s="5" t="s">
        <v>1408</v>
      </c>
      <c r="O141" s="5">
        <v>74999</v>
      </c>
      <c r="P141" s="6" t="e">
        <v>#VALUE!</v>
      </c>
      <c r="Q141" s="1"/>
      <c r="R141" s="7" t="e">
        <f ca="1">_xll.SNL.Clients.Office.Excel.Functions.SPG(A141, "SP_TOTAL_DEBT", "LTM")</f>
        <v>#NAME?</v>
      </c>
      <c r="S141" s="8" t="e">
        <f ca="1">_xll.SNL.Clients.Office.Excel.Functions.SPG(A141, "SP_DEBT_TO_EQUITY", "LTM")</f>
        <v>#NAME?</v>
      </c>
      <c r="U141" s="9" t="e">
        <f t="shared" ca="1" si="2"/>
        <v>#VALUE!</v>
      </c>
      <c r="Y141" s="1"/>
      <c r="Z141" s="1"/>
      <c r="AA141" s="10"/>
      <c r="AB141" s="1" t="s">
        <v>326</v>
      </c>
      <c r="AC141" s="1" t="s">
        <v>34</v>
      </c>
      <c r="AD141" s="10">
        <v>953.08376831999999</v>
      </c>
      <c r="AE141" s="1" t="s">
        <v>25</v>
      </c>
    </row>
    <row r="142" spans="1:31" x14ac:dyDescent="0.2">
      <c r="A142" s="1" t="s">
        <v>327</v>
      </c>
      <c r="B142" s="2">
        <v>7.92</v>
      </c>
      <c r="C142" s="3">
        <v>28.691983122362899</v>
      </c>
      <c r="D142" s="2">
        <v>17.881</v>
      </c>
      <c r="E142" s="2">
        <v>25.708196999999998</v>
      </c>
      <c r="F142" s="4">
        <v>5.0289999999999999</v>
      </c>
      <c r="G142" s="4">
        <v>17.230032312496</v>
      </c>
      <c r="H142" s="2">
        <v>1.0349999999999999</v>
      </c>
      <c r="I142" s="4">
        <v>0.29099999999999998</v>
      </c>
      <c r="J142" s="4" t="s">
        <v>1408</v>
      </c>
      <c r="K142" s="4">
        <v>4.000102</v>
      </c>
      <c r="L142" s="4">
        <v>17.902722000000001</v>
      </c>
      <c r="N142" s="5">
        <v>955275</v>
      </c>
      <c r="O142" s="5">
        <v>870500</v>
      </c>
      <c r="P142" s="6">
        <v>1.0973865594485928</v>
      </c>
      <c r="Q142" s="1"/>
      <c r="R142" s="7" t="e">
        <f ca="1">_xll.SNL.Clients.Office.Excel.Functions.SPG(A142, "SP_TOTAL_DEBT", "LTM")</f>
        <v>#NAME?</v>
      </c>
      <c r="S142" s="8" t="e">
        <f ca="1">_xll.SNL.Clients.Office.Excel.Functions.SPG(A142, "SP_DEBT_TO_EQUITY", "LTM")</f>
        <v>#NAME?</v>
      </c>
      <c r="U142" s="9" t="e">
        <f t="shared" ca="1" si="2"/>
        <v>#NAME?</v>
      </c>
      <c r="Y142" s="1"/>
      <c r="Z142" s="1"/>
      <c r="AA142" s="10"/>
      <c r="AB142" s="1" t="s">
        <v>328</v>
      </c>
      <c r="AC142" s="1" t="s">
        <v>24</v>
      </c>
      <c r="AD142" s="10">
        <v>22073.407772359998</v>
      </c>
      <c r="AE142" s="1" t="s">
        <v>25</v>
      </c>
    </row>
    <row r="143" spans="1:31" x14ac:dyDescent="0.2">
      <c r="A143" s="1" t="s">
        <v>329</v>
      </c>
      <c r="B143" s="2">
        <v>9.1999999999999998E-2</v>
      </c>
      <c r="C143" s="3" t="s">
        <v>1409</v>
      </c>
      <c r="D143" s="2">
        <v>72.878</v>
      </c>
      <c r="E143" s="2" t="s">
        <v>1409</v>
      </c>
      <c r="F143" s="4">
        <v>0.38800000000000001</v>
      </c>
      <c r="G143" s="4">
        <v>-6.2839414603871599</v>
      </c>
      <c r="H143" s="2">
        <v>1.0049999999999999</v>
      </c>
      <c r="I143" s="4">
        <v>0.34499999999999997</v>
      </c>
      <c r="J143" s="4" t="s">
        <v>1408</v>
      </c>
      <c r="K143" s="4">
        <v>2.5092409999999998</v>
      </c>
      <c r="L143" s="4">
        <v>22.950968</v>
      </c>
      <c r="N143" s="5">
        <v>203723.875</v>
      </c>
      <c r="O143" s="5">
        <v>-192996</v>
      </c>
      <c r="P143" s="6">
        <v>-1.0555859966009657</v>
      </c>
      <c r="Q143" s="1"/>
      <c r="R143" s="7" t="e">
        <f ca="1">_xll.SNL.Clients.Office.Excel.Functions.SPG(A143, "SP_TOTAL_DEBT", "LTM")</f>
        <v>#NAME?</v>
      </c>
      <c r="S143" s="8" t="e">
        <f ca="1">_xll.SNL.Clients.Office.Excel.Functions.SPG(A143, "SP_DEBT_TO_EQUITY", "LTM")</f>
        <v>#NAME?</v>
      </c>
      <c r="U143" s="9" t="e">
        <f t="shared" ca="1" si="2"/>
        <v>#NAME?</v>
      </c>
      <c r="Y143" s="1"/>
      <c r="Z143" s="1"/>
      <c r="AA143" s="10"/>
      <c r="AB143" s="1" t="s">
        <v>330</v>
      </c>
      <c r="AC143" s="1" t="s">
        <v>24</v>
      </c>
      <c r="AD143" s="10">
        <v>1443.2972439600001</v>
      </c>
      <c r="AE143" s="1" t="s">
        <v>25</v>
      </c>
    </row>
    <row r="144" spans="1:31" x14ac:dyDescent="0.2">
      <c r="A144" s="1" t="s">
        <v>331</v>
      </c>
      <c r="B144" s="2" t="s">
        <v>1408</v>
      </c>
      <c r="C144" s="3">
        <v>-48.726655348047501</v>
      </c>
      <c r="D144" s="2">
        <v>-14.398999999999999</v>
      </c>
      <c r="E144" s="2">
        <v>18.708608999999999</v>
      </c>
      <c r="F144" s="4">
        <v>0.63200000000000001</v>
      </c>
      <c r="G144" s="4">
        <v>7.87945735845289</v>
      </c>
      <c r="H144" s="2" t="s">
        <v>1408</v>
      </c>
      <c r="I144" s="4" t="s">
        <v>1408</v>
      </c>
      <c r="J144" s="4">
        <v>25.251513552668101</v>
      </c>
      <c r="K144" s="4">
        <v>1.340514</v>
      </c>
      <c r="L144" s="4" t="s">
        <v>1408</v>
      </c>
      <c r="N144" s="5" t="s">
        <v>1408</v>
      </c>
      <c r="O144" s="5">
        <v>22692</v>
      </c>
      <c r="P144" s="6" t="e">
        <v>#VALUE!</v>
      </c>
      <c r="Q144" s="1"/>
      <c r="R144" s="7" t="e">
        <f ca="1">_xll.SNL.Clients.Office.Excel.Functions.SPG(A144, "SP_TOTAL_DEBT", "LTM")</f>
        <v>#NAME?</v>
      </c>
      <c r="S144" s="8" t="e">
        <f ca="1">_xll.SNL.Clients.Office.Excel.Functions.SPG(A144, "SP_DEBT_TO_EQUITY", "LTM")</f>
        <v>#NAME?</v>
      </c>
      <c r="U144" s="9" t="e">
        <f t="shared" ca="1" si="2"/>
        <v>#VALUE!</v>
      </c>
      <c r="Y144" s="1"/>
      <c r="Z144" s="1"/>
      <c r="AA144" s="10"/>
      <c r="AB144" s="1" t="s">
        <v>332</v>
      </c>
      <c r="AC144" s="1" t="s">
        <v>34</v>
      </c>
      <c r="AD144" s="10">
        <v>432.19077679999998</v>
      </c>
      <c r="AE144" s="1" t="s">
        <v>25</v>
      </c>
    </row>
    <row r="145" spans="1:31" x14ac:dyDescent="0.2">
      <c r="A145" s="1" t="s">
        <v>333</v>
      </c>
      <c r="B145" s="2" t="s">
        <v>1408</v>
      </c>
      <c r="C145" s="3">
        <v>11.637931034482801</v>
      </c>
      <c r="D145" s="2">
        <v>12.766</v>
      </c>
      <c r="E145" s="2">
        <v>8.2818529999999999</v>
      </c>
      <c r="F145" s="4">
        <v>1.1299999999999999</v>
      </c>
      <c r="G145" s="4">
        <v>11.7838198266339</v>
      </c>
      <c r="H145" s="2" t="s">
        <v>1408</v>
      </c>
      <c r="I145" s="4" t="s">
        <v>1408</v>
      </c>
      <c r="J145" s="4">
        <v>36.7461275198322</v>
      </c>
      <c r="K145" s="4">
        <v>0.95016599999999996</v>
      </c>
      <c r="L145" s="4" t="s">
        <v>1408</v>
      </c>
      <c r="N145" s="5" t="s">
        <v>1408</v>
      </c>
      <c r="O145" s="5">
        <v>71043</v>
      </c>
      <c r="P145" s="6" t="e">
        <v>#VALUE!</v>
      </c>
      <c r="Q145" s="1"/>
      <c r="R145" s="7" t="e">
        <f ca="1">_xll.SNL.Clients.Office.Excel.Functions.SPG(A145, "SP_TOTAL_DEBT", "LTM")</f>
        <v>#NAME?</v>
      </c>
      <c r="S145" s="8" t="e">
        <f ca="1">_xll.SNL.Clients.Office.Excel.Functions.SPG(A145, "SP_DEBT_TO_EQUITY", "LTM")</f>
        <v>#NAME?</v>
      </c>
      <c r="U145" s="9" t="e">
        <f t="shared" ca="1" si="2"/>
        <v>#VALUE!</v>
      </c>
      <c r="Y145" s="1"/>
      <c r="Z145" s="1"/>
      <c r="AA145" s="10"/>
      <c r="AB145" s="1" t="s">
        <v>334</v>
      </c>
      <c r="AC145" s="1" t="s">
        <v>34</v>
      </c>
      <c r="AD145" s="10">
        <v>571.68329295000001</v>
      </c>
      <c r="AE145" s="1" t="s">
        <v>25</v>
      </c>
    </row>
    <row r="146" spans="1:31" x14ac:dyDescent="0.2">
      <c r="A146" s="1" t="s">
        <v>335</v>
      </c>
      <c r="B146" s="2" t="s">
        <v>1408</v>
      </c>
      <c r="C146" s="3">
        <v>14.1025641025641</v>
      </c>
      <c r="D146" s="2">
        <v>18.395</v>
      </c>
      <c r="E146" s="2">
        <v>7.6891389999999999</v>
      </c>
      <c r="F146" s="4">
        <v>1.3280000000000001</v>
      </c>
      <c r="G146" s="4">
        <v>12.499015168719</v>
      </c>
      <c r="H146" s="2" t="s">
        <v>1408</v>
      </c>
      <c r="I146" s="4" t="s">
        <v>1408</v>
      </c>
      <c r="J146" s="4">
        <v>39.866533632228901</v>
      </c>
      <c r="K146" s="4">
        <v>0.90740299999999996</v>
      </c>
      <c r="L146" s="4" t="s">
        <v>1408</v>
      </c>
      <c r="N146" s="5" t="s">
        <v>1408</v>
      </c>
      <c r="O146" s="5">
        <v>107878</v>
      </c>
      <c r="P146" s="6" t="e">
        <v>#VALUE!</v>
      </c>
      <c r="Q146" s="1"/>
      <c r="R146" s="7" t="e">
        <f ca="1">_xll.SNL.Clients.Office.Excel.Functions.SPG(A146, "SP_TOTAL_DEBT", "LTM")</f>
        <v>#NAME?</v>
      </c>
      <c r="S146" s="8" t="e">
        <f ca="1">_xll.SNL.Clients.Office.Excel.Functions.SPG(A146, "SP_DEBT_TO_EQUITY", "LTM")</f>
        <v>#NAME?</v>
      </c>
      <c r="U146" s="9" t="e">
        <f t="shared" ca="1" si="2"/>
        <v>#VALUE!</v>
      </c>
      <c r="Y146" s="1"/>
      <c r="Z146" s="1"/>
      <c r="AA146" s="10"/>
      <c r="AB146" s="1" t="s">
        <v>336</v>
      </c>
      <c r="AC146" s="1" t="s">
        <v>34</v>
      </c>
      <c r="AD146" s="10">
        <v>955.80698303999998</v>
      </c>
      <c r="AE146" s="1" t="s">
        <v>25</v>
      </c>
    </row>
    <row r="147" spans="1:31" x14ac:dyDescent="0.2">
      <c r="A147" s="1" t="s">
        <v>337</v>
      </c>
      <c r="B147" s="2" t="s">
        <v>1408</v>
      </c>
      <c r="C147" s="3" t="s">
        <v>1409</v>
      </c>
      <c r="D147" s="2">
        <v>-37.137</v>
      </c>
      <c r="E147" s="2">
        <v>8.7559970000000007</v>
      </c>
      <c r="F147" s="4">
        <v>8.0000000000000002E-3</v>
      </c>
      <c r="G147" s="4">
        <v>12.084949234896699</v>
      </c>
      <c r="H147" s="2" t="s">
        <v>1408</v>
      </c>
      <c r="I147" s="4" t="s">
        <v>1408</v>
      </c>
      <c r="J147" s="4">
        <v>34.000231321669503</v>
      </c>
      <c r="K147" s="4">
        <v>0.93432300000000001</v>
      </c>
      <c r="L147" s="4" t="s">
        <v>1408</v>
      </c>
      <c r="N147" s="5" t="s">
        <v>1408</v>
      </c>
      <c r="O147" s="5">
        <v>542304</v>
      </c>
      <c r="P147" s="6" t="e">
        <v>#VALUE!</v>
      </c>
      <c r="Q147" s="1"/>
      <c r="R147" s="7" t="e">
        <f ca="1">_xll.SNL.Clients.Office.Excel.Functions.SPG(A147, "SP_TOTAL_DEBT", "LTM")</f>
        <v>#NAME?</v>
      </c>
      <c r="S147" s="8" t="e">
        <f ca="1">_xll.SNL.Clients.Office.Excel.Functions.SPG(A147, "SP_DEBT_TO_EQUITY", "LTM")</f>
        <v>#NAME?</v>
      </c>
      <c r="U147" s="9" t="e">
        <f t="shared" ca="1" si="2"/>
        <v>#VALUE!</v>
      </c>
      <c r="Y147" s="1"/>
      <c r="Z147" s="1"/>
      <c r="AA147" s="10"/>
      <c r="AB147" s="1" t="s">
        <v>338</v>
      </c>
      <c r="AC147" s="1" t="s">
        <v>34</v>
      </c>
      <c r="AD147" s="10">
        <v>4868.0466505000004</v>
      </c>
      <c r="AE147" s="1" t="s">
        <v>25</v>
      </c>
    </row>
    <row r="148" spans="1:31" x14ac:dyDescent="0.2">
      <c r="A148" s="1" t="s">
        <v>339</v>
      </c>
      <c r="B148" s="2">
        <v>17.628</v>
      </c>
      <c r="C148" s="3" t="s">
        <v>1408</v>
      </c>
      <c r="D148" s="2">
        <v>53.494999999999997</v>
      </c>
      <c r="E148" s="2" t="s">
        <v>1408</v>
      </c>
      <c r="F148" s="4">
        <v>18.358000000000001</v>
      </c>
      <c r="G148" s="4" t="s">
        <v>1408</v>
      </c>
      <c r="H148" s="2">
        <v>17.574999999999999</v>
      </c>
      <c r="I148" s="4">
        <v>0.35199999999999998</v>
      </c>
      <c r="J148" s="4" t="s">
        <v>1408</v>
      </c>
      <c r="K148" s="4">
        <v>3.4845989999999998</v>
      </c>
      <c r="L148" s="4">
        <v>11.696</v>
      </c>
      <c r="N148" s="5">
        <v>2251187.5</v>
      </c>
      <c r="O148" s="5">
        <v>3528286</v>
      </c>
      <c r="P148" s="6">
        <v>0.63803997181634364</v>
      </c>
      <c r="Q148" s="1"/>
      <c r="R148" s="7" t="e">
        <f ca="1">_xll.SNL.Clients.Office.Excel.Functions.SPG(A148, "SP_TOTAL_DEBT", "LTM")</f>
        <v>#NAME?</v>
      </c>
      <c r="S148" s="8" t="e">
        <f ca="1">_xll.SNL.Clients.Office.Excel.Functions.SPG(A148, "SP_DEBT_TO_EQUITY", "LTM")</f>
        <v>#NAME?</v>
      </c>
      <c r="U148" s="9" t="e">
        <f t="shared" ca="1" si="2"/>
        <v>#NAME?</v>
      </c>
      <c r="Y148" s="1"/>
      <c r="Z148" s="1"/>
      <c r="AA148" s="10"/>
      <c r="AB148" s="1" t="s">
        <v>340</v>
      </c>
      <c r="AC148" s="1" t="s">
        <v>108</v>
      </c>
      <c r="AD148" s="10">
        <v>8590.8842186328293</v>
      </c>
      <c r="AE148" s="1" t="s">
        <v>42</v>
      </c>
    </row>
    <row r="149" spans="1:31" x14ac:dyDescent="0.2">
      <c r="A149" s="1" t="s">
        <v>341</v>
      </c>
      <c r="B149" s="2" t="s">
        <v>1408</v>
      </c>
      <c r="C149" s="3">
        <v>-40.5479452054795</v>
      </c>
      <c r="D149" s="2">
        <v>-11.358000000000001</v>
      </c>
      <c r="E149" s="2">
        <v>15.096774</v>
      </c>
      <c r="F149" s="4">
        <v>0.621</v>
      </c>
      <c r="G149" s="4">
        <v>6.5010139668211799</v>
      </c>
      <c r="H149" s="2" t="s">
        <v>1408</v>
      </c>
      <c r="I149" s="4" t="s">
        <v>1408</v>
      </c>
      <c r="J149" s="4">
        <v>32.970541910715198</v>
      </c>
      <c r="K149" s="4">
        <v>0.96157800000000004</v>
      </c>
      <c r="L149" s="4" t="s">
        <v>1408</v>
      </c>
      <c r="N149" s="5" t="s">
        <v>1408</v>
      </c>
      <c r="O149" s="5">
        <v>34109</v>
      </c>
      <c r="P149" s="6" t="e">
        <v>#VALUE!</v>
      </c>
      <c r="Q149" s="1"/>
      <c r="R149" s="7" t="e">
        <f ca="1">_xll.SNL.Clients.Office.Excel.Functions.SPG(A149, "SP_TOTAL_DEBT", "LTM")</f>
        <v>#NAME?</v>
      </c>
      <c r="S149" s="8" t="e">
        <f ca="1">_xll.SNL.Clients.Office.Excel.Functions.SPG(A149, "SP_DEBT_TO_EQUITY", "LTM")</f>
        <v>#NAME?</v>
      </c>
      <c r="U149" s="9" t="e">
        <f t="shared" ca="1" si="2"/>
        <v>#VALUE!</v>
      </c>
      <c r="Y149" s="1"/>
      <c r="Z149" s="1"/>
      <c r="AA149" s="10"/>
      <c r="AB149" s="1" t="s">
        <v>342</v>
      </c>
      <c r="AC149" s="1" t="s">
        <v>34</v>
      </c>
      <c r="AD149" s="10">
        <v>538.11955267999997</v>
      </c>
      <c r="AE149" s="1" t="s">
        <v>25</v>
      </c>
    </row>
    <row r="150" spans="1:31" x14ac:dyDescent="0.2">
      <c r="A150" s="1" t="s">
        <v>343</v>
      </c>
      <c r="B150" s="2" t="s">
        <v>1408</v>
      </c>
      <c r="C150" s="3">
        <v>-28.7769784172662</v>
      </c>
      <c r="D150" s="2">
        <v>-12.343</v>
      </c>
      <c r="E150" s="2">
        <v>11.060606</v>
      </c>
      <c r="F150" s="4">
        <v>0.76200000000000001</v>
      </c>
      <c r="G150" s="4">
        <v>9.2953545724711102</v>
      </c>
      <c r="H150" s="2" t="s">
        <v>1408</v>
      </c>
      <c r="I150" s="4" t="s">
        <v>1408</v>
      </c>
      <c r="J150" s="4">
        <v>36.948970951632099</v>
      </c>
      <c r="K150" s="4">
        <v>0.96651799999999999</v>
      </c>
      <c r="L150" s="4" t="s">
        <v>1408</v>
      </c>
      <c r="N150" s="5" t="s">
        <v>1408</v>
      </c>
      <c r="O150" s="5">
        <v>43383</v>
      </c>
      <c r="P150" s="6" t="e">
        <v>#VALUE!</v>
      </c>
      <c r="Q150" s="1"/>
      <c r="R150" s="7" t="e">
        <f ca="1">_xll.SNL.Clients.Office.Excel.Functions.SPG(A150, "SP_TOTAL_DEBT", "LTM")</f>
        <v>#NAME?</v>
      </c>
      <c r="S150" s="8" t="e">
        <f ca="1">_xll.SNL.Clients.Office.Excel.Functions.SPG(A150, "SP_DEBT_TO_EQUITY", "LTM")</f>
        <v>#NAME?</v>
      </c>
      <c r="U150" s="9" t="e">
        <f t="shared" ca="1" si="2"/>
        <v>#VALUE!</v>
      </c>
      <c r="Y150" s="1"/>
      <c r="Z150" s="1"/>
      <c r="AA150" s="10"/>
      <c r="AB150" s="1" t="s">
        <v>344</v>
      </c>
      <c r="AC150" s="1" t="s">
        <v>34</v>
      </c>
      <c r="AD150" s="10">
        <v>524.81125055999996</v>
      </c>
      <c r="AE150" s="1" t="s">
        <v>25</v>
      </c>
    </row>
    <row r="151" spans="1:31" x14ac:dyDescent="0.2">
      <c r="A151" s="1" t="s">
        <v>345</v>
      </c>
      <c r="B151" s="2" t="s">
        <v>1408</v>
      </c>
      <c r="C151" s="3" t="s">
        <v>1409</v>
      </c>
      <c r="D151" s="2">
        <v>-28.013999999999999</v>
      </c>
      <c r="E151" s="2" t="s">
        <v>1409</v>
      </c>
      <c r="F151" s="4">
        <v>-1.44</v>
      </c>
      <c r="G151" s="4">
        <v>-3.9207941144398202</v>
      </c>
      <c r="H151" s="2">
        <v>1.1060000000000001</v>
      </c>
      <c r="I151" s="4">
        <v>0.24099999999999999</v>
      </c>
      <c r="J151" s="4" t="s">
        <v>1408</v>
      </c>
      <c r="K151" s="4">
        <v>0.867421</v>
      </c>
      <c r="L151" s="4" t="s">
        <v>1408</v>
      </c>
      <c r="N151" s="5" t="s">
        <v>1408</v>
      </c>
      <c r="O151" s="5">
        <v>-84437</v>
      </c>
      <c r="P151" s="6" t="e">
        <v>#VALUE!</v>
      </c>
      <c r="Q151" s="1"/>
      <c r="R151" s="7" t="e">
        <f ca="1">_xll.SNL.Clients.Office.Excel.Functions.SPG(A151, "SP_TOTAL_DEBT", "LTM")</f>
        <v>#NAME?</v>
      </c>
      <c r="S151" s="8" t="e">
        <f ca="1">_xll.SNL.Clients.Office.Excel.Functions.SPG(A151, "SP_DEBT_TO_EQUITY", "LTM")</f>
        <v>#NAME?</v>
      </c>
      <c r="U151" s="9" t="e">
        <f t="shared" ca="1" si="2"/>
        <v>#VALUE!</v>
      </c>
      <c r="Y151" s="1"/>
      <c r="Z151" s="1"/>
      <c r="AA151" s="10"/>
      <c r="AB151" s="1" t="s">
        <v>346</v>
      </c>
      <c r="AC151" s="1" t="s">
        <v>174</v>
      </c>
      <c r="AD151" s="10">
        <v>514.87947106264301</v>
      </c>
      <c r="AE151" s="1" t="s">
        <v>25</v>
      </c>
    </row>
    <row r="152" spans="1:31" x14ac:dyDescent="0.2">
      <c r="A152" s="1" t="s">
        <v>347</v>
      </c>
      <c r="B152" s="2" t="s">
        <v>1408</v>
      </c>
      <c r="C152" s="3">
        <v>-22.7373845810631</v>
      </c>
      <c r="D152" s="2">
        <v>2.585</v>
      </c>
      <c r="E152" s="2">
        <v>11.728681999999999</v>
      </c>
      <c r="F152" s="4">
        <v>0.52400000000000002</v>
      </c>
      <c r="G152" s="4">
        <v>9.8395669652130398</v>
      </c>
      <c r="H152" s="2" t="s">
        <v>1408</v>
      </c>
      <c r="I152" s="4" t="s">
        <v>1408</v>
      </c>
      <c r="J152" s="4">
        <v>29.861498220487999</v>
      </c>
      <c r="K152" s="4">
        <v>1.119</v>
      </c>
      <c r="L152" s="4" t="s">
        <v>1408</v>
      </c>
      <c r="N152" s="5" t="s">
        <v>1408</v>
      </c>
      <c r="O152" s="5">
        <v>5033000</v>
      </c>
      <c r="P152" s="6" t="e">
        <v>#VALUE!</v>
      </c>
      <c r="Q152" s="1"/>
      <c r="R152" s="7" t="e">
        <f ca="1">_xll.SNL.Clients.Office.Excel.Functions.SPG(A152, "SP_TOTAL_DEBT", "LTM")</f>
        <v>#NAME?</v>
      </c>
      <c r="S152" s="8" t="e">
        <f ca="1">_xll.SNL.Clients.Office.Excel.Functions.SPG(A152, "SP_DEBT_TO_EQUITY", "LTM")</f>
        <v>#NAME?</v>
      </c>
      <c r="U152" s="9" t="e">
        <f t="shared" ca="1" si="2"/>
        <v>#VALUE!</v>
      </c>
      <c r="Y152" s="1"/>
      <c r="Z152" s="1"/>
      <c r="AA152" s="10"/>
      <c r="AB152" s="1" t="s">
        <v>348</v>
      </c>
      <c r="AC152" s="1" t="s">
        <v>34</v>
      </c>
      <c r="AD152" s="10">
        <v>42317.105455844598</v>
      </c>
      <c r="AE152" s="1" t="s">
        <v>25</v>
      </c>
    </row>
    <row r="153" spans="1:31" x14ac:dyDescent="0.2">
      <c r="A153" s="1" t="s">
        <v>349</v>
      </c>
      <c r="B153" s="2" t="s">
        <v>1408</v>
      </c>
      <c r="C153" s="3">
        <v>-0.45756463222053101</v>
      </c>
      <c r="D153" s="2">
        <v>5.4009999999999998</v>
      </c>
      <c r="E153" s="2">
        <v>8.5456160000000008</v>
      </c>
      <c r="F153" s="4">
        <v>0.83699999999999997</v>
      </c>
      <c r="G153" s="4">
        <v>8.9658820240360608</v>
      </c>
      <c r="H153" s="2" t="s">
        <v>1408</v>
      </c>
      <c r="I153" s="4" t="s">
        <v>1408</v>
      </c>
      <c r="J153" s="4">
        <v>42.6623307753012</v>
      </c>
      <c r="K153" s="4">
        <v>0.73666500000000001</v>
      </c>
      <c r="L153" s="4" t="s">
        <v>1408</v>
      </c>
      <c r="N153" s="5" t="s">
        <v>1408</v>
      </c>
      <c r="O153" s="5">
        <v>350649</v>
      </c>
      <c r="P153" s="6" t="e">
        <v>#VALUE!</v>
      </c>
      <c r="Q153" s="1"/>
      <c r="R153" s="7" t="e">
        <f ca="1">_xll.SNL.Clients.Office.Excel.Functions.SPG(A153, "SP_TOTAL_DEBT", "LTM")</f>
        <v>#NAME?</v>
      </c>
      <c r="S153" s="8" t="e">
        <f ca="1">_xll.SNL.Clients.Office.Excel.Functions.SPG(A153, "SP_DEBT_TO_EQUITY", "LTM")</f>
        <v>#NAME?</v>
      </c>
      <c r="U153" s="9" t="e">
        <f t="shared" ca="1" si="2"/>
        <v>#VALUE!</v>
      </c>
      <c r="Y153" s="1"/>
      <c r="Z153" s="1"/>
      <c r="AA153" s="10"/>
      <c r="AB153" s="1" t="s">
        <v>350</v>
      </c>
      <c r="AC153" s="1" t="s">
        <v>34</v>
      </c>
      <c r="AD153" s="10">
        <v>2135.3555071717401</v>
      </c>
      <c r="AE153" s="1" t="s">
        <v>25</v>
      </c>
    </row>
    <row r="154" spans="1:31" x14ac:dyDescent="0.2">
      <c r="A154" s="1" t="s">
        <v>351</v>
      </c>
      <c r="B154" s="2" t="s">
        <v>1408</v>
      </c>
      <c r="C154" s="3">
        <v>6.7732435843500198</v>
      </c>
      <c r="D154" s="2">
        <v>7.5549999999999997</v>
      </c>
      <c r="E154" s="2">
        <v>6.9372379999999998</v>
      </c>
      <c r="F154" s="4">
        <v>1.028</v>
      </c>
      <c r="G154" s="4">
        <v>15.323094458264899</v>
      </c>
      <c r="H154" s="2" t="s">
        <v>1408</v>
      </c>
      <c r="I154" s="4" t="s">
        <v>1408</v>
      </c>
      <c r="J154" s="4">
        <v>32.326756368664597</v>
      </c>
      <c r="K154" s="4">
        <v>1.02484</v>
      </c>
      <c r="L154" s="4" t="s">
        <v>1408</v>
      </c>
      <c r="N154" s="5" t="s">
        <v>1408</v>
      </c>
      <c r="O154" s="5">
        <v>45850</v>
      </c>
      <c r="P154" s="6" t="e">
        <v>#VALUE!</v>
      </c>
      <c r="Q154" s="1"/>
      <c r="R154" s="7" t="e">
        <f ca="1">_xll.SNL.Clients.Office.Excel.Functions.SPG(A154, "SP_TOTAL_DEBT", "LTM")</f>
        <v>#NAME?</v>
      </c>
      <c r="S154" s="8" t="e">
        <f ca="1">_xll.SNL.Clients.Office.Excel.Functions.SPG(A154, "SP_DEBT_TO_EQUITY", "LTM")</f>
        <v>#NAME?</v>
      </c>
      <c r="U154" s="9" t="e">
        <f t="shared" ca="1" si="2"/>
        <v>#VALUE!</v>
      </c>
      <c r="Y154" s="1"/>
      <c r="Z154" s="1"/>
      <c r="AA154" s="10"/>
      <c r="AB154" s="1" t="s">
        <v>352</v>
      </c>
      <c r="AC154" s="1" t="s">
        <v>34</v>
      </c>
      <c r="AD154" s="10">
        <v>337.73318899999998</v>
      </c>
      <c r="AE154" s="1" t="s">
        <v>25</v>
      </c>
    </row>
    <row r="155" spans="1:31" x14ac:dyDescent="0.2">
      <c r="A155" s="1" t="s">
        <v>353</v>
      </c>
      <c r="B155" s="2">
        <v>-2.742</v>
      </c>
      <c r="C155" s="3" t="s">
        <v>1408</v>
      </c>
      <c r="D155" s="2">
        <v>-10.792</v>
      </c>
      <c r="E155" s="2" t="s">
        <v>1409</v>
      </c>
      <c r="F155" s="4">
        <v>-1.8129999999999999</v>
      </c>
      <c r="G155" s="4" t="s">
        <v>1408</v>
      </c>
      <c r="H155" s="2">
        <v>1.0669999999999999</v>
      </c>
      <c r="I155" s="4">
        <v>0.20399999999999999</v>
      </c>
      <c r="J155" s="4" t="s">
        <v>1408</v>
      </c>
      <c r="K155" s="4">
        <v>0.60248800000000002</v>
      </c>
      <c r="L155" s="4" t="s">
        <v>1409</v>
      </c>
      <c r="N155" s="5">
        <v>-73037.5</v>
      </c>
      <c r="O155" s="5">
        <v>-238700</v>
      </c>
      <c r="P155" s="6">
        <v>0.30598031001256809</v>
      </c>
      <c r="Q155" s="1"/>
      <c r="R155" s="7" t="e">
        <f ca="1">_xll.SNL.Clients.Office.Excel.Functions.SPG(A155, "SP_TOTAL_DEBT", "LTM")</f>
        <v>#NAME?</v>
      </c>
      <c r="S155" s="8" t="e">
        <f ca="1">_xll.SNL.Clients.Office.Excel.Functions.SPG(A155, "SP_DEBT_TO_EQUITY", "LTM")</f>
        <v>#NAME?</v>
      </c>
      <c r="U155" s="9" t="e">
        <f t="shared" ca="1" si="2"/>
        <v>#NAME?</v>
      </c>
      <c r="Y155" s="1"/>
      <c r="Z155" s="1"/>
      <c r="AA155" s="10"/>
      <c r="AB155" s="1" t="s">
        <v>354</v>
      </c>
      <c r="AC155" s="1" t="s">
        <v>123</v>
      </c>
      <c r="AD155" s="10">
        <v>1431.9174734999999</v>
      </c>
      <c r="AE155" s="1" t="s">
        <v>25</v>
      </c>
    </row>
    <row r="156" spans="1:31" x14ac:dyDescent="0.2">
      <c r="A156" s="1" t="s">
        <v>355</v>
      </c>
      <c r="B156" s="2">
        <v>1.256</v>
      </c>
      <c r="C156" s="3" t="s">
        <v>1408</v>
      </c>
      <c r="D156" s="2">
        <v>18.731999999999999</v>
      </c>
      <c r="E156" s="2">
        <v>46.734693999999998</v>
      </c>
      <c r="F156" s="4">
        <v>3.403</v>
      </c>
      <c r="G156" s="4" t="s">
        <v>1408</v>
      </c>
      <c r="H156" s="2">
        <v>1.534</v>
      </c>
      <c r="I156" s="4">
        <v>0.90500000000000003</v>
      </c>
      <c r="J156" s="4" t="s">
        <v>1408</v>
      </c>
      <c r="K156" s="4">
        <v>2.9573830000000001</v>
      </c>
      <c r="L156" s="4">
        <v>17.639581</v>
      </c>
      <c r="N156" s="5">
        <v>12913</v>
      </c>
      <c r="O156" s="5">
        <v>11214</v>
      </c>
      <c r="P156" s="6">
        <v>1.1515070447654718</v>
      </c>
      <c r="Q156" s="1"/>
      <c r="R156" s="7" t="e">
        <f ca="1">_xll.SNL.Clients.Office.Excel.Functions.SPG(A156, "SP_TOTAL_DEBT", "LTM")</f>
        <v>#NAME?</v>
      </c>
      <c r="S156" s="8" t="e">
        <f ca="1">_xll.SNL.Clients.Office.Excel.Functions.SPG(A156, "SP_DEBT_TO_EQUITY", "LTM")</f>
        <v>#NAME?</v>
      </c>
      <c r="U156" s="9" t="e">
        <f t="shared" ca="1" si="2"/>
        <v>#NAME?</v>
      </c>
      <c r="Y156" s="1"/>
      <c r="Z156" s="1"/>
      <c r="AA156" s="10"/>
      <c r="AB156" s="1" t="s">
        <v>356</v>
      </c>
      <c r="AC156" s="1" t="s">
        <v>57</v>
      </c>
      <c r="AD156" s="10">
        <v>495.27332159999997</v>
      </c>
      <c r="AE156" s="1" t="s">
        <v>25</v>
      </c>
    </row>
    <row r="157" spans="1:31" x14ac:dyDescent="0.2">
      <c r="A157" s="1" t="s">
        <v>357</v>
      </c>
      <c r="B157" s="2" t="s">
        <v>1408</v>
      </c>
      <c r="C157" s="3">
        <v>-12.3711340206186</v>
      </c>
      <c r="D157" s="2">
        <v>-3.891</v>
      </c>
      <c r="E157" s="2">
        <v>8.1333330000000004</v>
      </c>
      <c r="F157" s="4">
        <v>1.65</v>
      </c>
      <c r="G157" s="4">
        <v>14.913998478290701</v>
      </c>
      <c r="H157" s="2" t="s">
        <v>1408</v>
      </c>
      <c r="I157" s="4" t="s">
        <v>1408</v>
      </c>
      <c r="J157" s="4">
        <v>27.762596020444299</v>
      </c>
      <c r="K157" s="4">
        <v>1.132962</v>
      </c>
      <c r="L157" s="4" t="s">
        <v>1408</v>
      </c>
      <c r="N157" s="5" t="s">
        <v>1408</v>
      </c>
      <c r="O157" s="5">
        <v>35871</v>
      </c>
      <c r="P157" s="6" t="e">
        <v>#VALUE!</v>
      </c>
      <c r="Q157" s="1"/>
      <c r="R157" s="7" t="e">
        <f ca="1">_xll.SNL.Clients.Office.Excel.Functions.SPG(A157, "SP_TOTAL_DEBT", "LTM")</f>
        <v>#NAME?</v>
      </c>
      <c r="S157" s="8" t="e">
        <f ca="1">_xll.SNL.Clients.Office.Excel.Functions.SPG(A157, "SP_DEBT_TO_EQUITY", "LTM")</f>
        <v>#NAME?</v>
      </c>
      <c r="U157" s="9" t="e">
        <f t="shared" ca="1" si="2"/>
        <v>#VALUE!</v>
      </c>
      <c r="Y157" s="1"/>
      <c r="Z157" s="1"/>
      <c r="AA157" s="10"/>
      <c r="AB157" s="1" t="s">
        <v>358</v>
      </c>
      <c r="AC157" s="1" t="s">
        <v>34</v>
      </c>
      <c r="AD157" s="10">
        <v>302.95429632000003</v>
      </c>
      <c r="AE157" s="1" t="s">
        <v>25</v>
      </c>
    </row>
    <row r="158" spans="1:31" x14ac:dyDescent="0.2">
      <c r="A158" s="1" t="s">
        <v>359</v>
      </c>
      <c r="B158" s="2" t="s">
        <v>1408</v>
      </c>
      <c r="C158" s="3">
        <v>55.837563451776603</v>
      </c>
      <c r="D158" s="2">
        <v>14.62</v>
      </c>
      <c r="E158" s="2">
        <v>9.0716610000000006</v>
      </c>
      <c r="F158" s="4">
        <v>1.1519999999999999</v>
      </c>
      <c r="G158" s="4">
        <v>11.822301418555201</v>
      </c>
      <c r="H158" s="2" t="s">
        <v>1408</v>
      </c>
      <c r="I158" s="4" t="s">
        <v>1408</v>
      </c>
      <c r="J158" s="4">
        <v>27.133799946226802</v>
      </c>
      <c r="K158" s="4">
        <v>1.0713189999999999</v>
      </c>
      <c r="L158" s="4" t="s">
        <v>1408</v>
      </c>
      <c r="N158" s="5" t="s">
        <v>1408</v>
      </c>
      <c r="O158" s="5">
        <v>50821</v>
      </c>
      <c r="P158" s="6" t="e">
        <v>#VALUE!</v>
      </c>
      <c r="Q158" s="1"/>
      <c r="R158" s="7" t="e">
        <f ca="1">_xll.SNL.Clients.Office.Excel.Functions.SPG(A158, "SP_TOTAL_DEBT", "LTM")</f>
        <v>#NAME?</v>
      </c>
      <c r="S158" s="8" t="e">
        <f ca="1">_xll.SNL.Clients.Office.Excel.Functions.SPG(A158, "SP_DEBT_TO_EQUITY", "LTM")</f>
        <v>#NAME?</v>
      </c>
      <c r="U158" s="9" t="e">
        <f t="shared" ca="1" si="2"/>
        <v>#VALUE!</v>
      </c>
      <c r="Y158" s="1"/>
      <c r="Z158" s="1"/>
      <c r="AA158" s="10"/>
      <c r="AB158" s="1" t="s">
        <v>360</v>
      </c>
      <c r="AC158" s="1" t="s">
        <v>34</v>
      </c>
      <c r="AD158" s="10">
        <v>484.43099999999998</v>
      </c>
      <c r="AE158" s="1" t="s">
        <v>25</v>
      </c>
    </row>
    <row r="159" spans="1:31" x14ac:dyDescent="0.2">
      <c r="A159" s="1" t="s">
        <v>361</v>
      </c>
      <c r="B159" s="2">
        <v>5.6070000000000002</v>
      </c>
      <c r="C159" s="3">
        <v>-41.176470588235297</v>
      </c>
      <c r="D159" s="2">
        <v>45.106999999999999</v>
      </c>
      <c r="E159" s="2">
        <v>10.515734</v>
      </c>
      <c r="F159" s="4">
        <v>6.8579999999999997</v>
      </c>
      <c r="G159" s="4">
        <v>6.6324169826791701</v>
      </c>
      <c r="H159" s="2">
        <v>60.901000000000003</v>
      </c>
      <c r="I159" s="4">
        <v>0.128</v>
      </c>
      <c r="J159" s="4" t="s">
        <v>1408</v>
      </c>
      <c r="K159" s="4">
        <v>1.4343630000000001</v>
      </c>
      <c r="L159" s="4">
        <v>11.382448</v>
      </c>
      <c r="N159" s="5">
        <v>93524.375</v>
      </c>
      <c r="O159" s="5">
        <v>88096</v>
      </c>
      <c r="P159" s="6">
        <v>1.0616188589720306</v>
      </c>
      <c r="Q159" s="1"/>
      <c r="R159" s="7" t="e">
        <f ca="1">_xll.SNL.Clients.Office.Excel.Functions.SPG(A159, "SP_TOTAL_DEBT", "LTM")</f>
        <v>#NAME?</v>
      </c>
      <c r="S159" s="8" t="e">
        <f ca="1">_xll.SNL.Clients.Office.Excel.Functions.SPG(A159, "SP_DEBT_TO_EQUITY", "LTM")</f>
        <v>#NAME?</v>
      </c>
      <c r="U159" s="9" t="e">
        <f t="shared" ca="1" si="2"/>
        <v>#NAME?</v>
      </c>
      <c r="Y159" s="1"/>
      <c r="Z159" s="1"/>
      <c r="AA159" s="10"/>
      <c r="AB159" s="1" t="s">
        <v>362</v>
      </c>
      <c r="AC159" s="1" t="s">
        <v>363</v>
      </c>
      <c r="AD159" s="10">
        <v>1055.61677384</v>
      </c>
      <c r="AE159" s="1" t="s">
        <v>25</v>
      </c>
    </row>
    <row r="160" spans="1:31" x14ac:dyDescent="0.2">
      <c r="A160" s="1" t="s">
        <v>364</v>
      </c>
      <c r="B160" s="2" t="s">
        <v>1408</v>
      </c>
      <c r="C160" s="3" t="s">
        <v>1409</v>
      </c>
      <c r="D160" s="2" t="s">
        <v>1409</v>
      </c>
      <c r="E160" s="2" t="s">
        <v>1409</v>
      </c>
      <c r="F160" s="4">
        <v>-1.1830000000000001</v>
      </c>
      <c r="G160" s="4">
        <v>-9.4832129807302099</v>
      </c>
      <c r="H160" s="2" t="s">
        <v>1408</v>
      </c>
      <c r="I160" s="4" t="s">
        <v>1408</v>
      </c>
      <c r="J160" s="4">
        <v>29.487217802430301</v>
      </c>
      <c r="K160" s="4">
        <v>0.74895500000000004</v>
      </c>
      <c r="L160" s="4" t="s">
        <v>1408</v>
      </c>
      <c r="N160" s="5" t="s">
        <v>1408</v>
      </c>
      <c r="O160" s="5">
        <v>-115356</v>
      </c>
      <c r="P160" s="6" t="e">
        <v>#VALUE!</v>
      </c>
      <c r="Q160" s="1"/>
      <c r="R160" s="7" t="e">
        <f ca="1">_xll.SNL.Clients.Office.Excel.Functions.SPG(A160, "SP_TOTAL_DEBT", "LTM")</f>
        <v>#NAME?</v>
      </c>
      <c r="S160" s="8" t="e">
        <f ca="1">_xll.SNL.Clients.Office.Excel.Functions.SPG(A160, "SP_DEBT_TO_EQUITY", "LTM")</f>
        <v>#NAME?</v>
      </c>
      <c r="U160" s="9" t="e">
        <f t="shared" ca="1" si="2"/>
        <v>#VALUE!</v>
      </c>
      <c r="Y160" s="1"/>
      <c r="Z160" s="1"/>
      <c r="AA160" s="10"/>
      <c r="AB160" s="1" t="s">
        <v>365</v>
      </c>
      <c r="AC160" s="1" t="s">
        <v>34</v>
      </c>
      <c r="AD160" s="10">
        <v>830.88362800000004</v>
      </c>
      <c r="AE160" s="1" t="s">
        <v>25</v>
      </c>
    </row>
    <row r="161" spans="1:31" x14ac:dyDescent="0.2">
      <c r="A161" s="1" t="s">
        <v>366</v>
      </c>
      <c r="B161" s="2" t="s">
        <v>1408</v>
      </c>
      <c r="C161" s="3">
        <v>-19.178082191780799</v>
      </c>
      <c r="D161" s="2">
        <v>-12.45</v>
      </c>
      <c r="E161" s="2">
        <v>11.132438</v>
      </c>
      <c r="F161" s="4">
        <v>1.042</v>
      </c>
      <c r="G161" s="4">
        <v>10.740998697877201</v>
      </c>
      <c r="H161" s="2" t="s">
        <v>1408</v>
      </c>
      <c r="I161" s="4" t="s">
        <v>1408</v>
      </c>
      <c r="J161" s="4">
        <v>35.568804493917398</v>
      </c>
      <c r="K161" s="4">
        <v>1.0441039999999999</v>
      </c>
      <c r="L161" s="4" t="s">
        <v>1408</v>
      </c>
      <c r="N161" s="5" t="s">
        <v>1408</v>
      </c>
      <c r="O161" s="5">
        <v>33506</v>
      </c>
      <c r="P161" s="6" t="e">
        <v>#VALUE!</v>
      </c>
      <c r="Q161" s="1"/>
      <c r="R161" s="7" t="e">
        <f ca="1">_xll.SNL.Clients.Office.Excel.Functions.SPG(A161, "SP_TOTAL_DEBT", "LTM")</f>
        <v>#NAME?</v>
      </c>
      <c r="S161" s="8" t="e">
        <f ca="1">_xll.SNL.Clients.Office.Excel.Functions.SPG(A161, "SP_DEBT_TO_EQUITY", "LTM")</f>
        <v>#NAME?</v>
      </c>
      <c r="U161" s="9" t="e">
        <f t="shared" ca="1" si="2"/>
        <v>#VALUE!</v>
      </c>
      <c r="Y161" s="1"/>
      <c r="Z161" s="1"/>
      <c r="AA161" s="10"/>
      <c r="AB161" s="1" t="s">
        <v>367</v>
      </c>
      <c r="AC161" s="1" t="s">
        <v>34</v>
      </c>
      <c r="AD161" s="10">
        <v>376.66455008000003</v>
      </c>
      <c r="AE161" s="1" t="s">
        <v>25</v>
      </c>
    </row>
    <row r="162" spans="1:31" x14ac:dyDescent="0.2">
      <c r="A162" s="1" t="s">
        <v>368</v>
      </c>
      <c r="B162" s="2" t="s">
        <v>1408</v>
      </c>
      <c r="C162" s="3">
        <v>-50.738916256157601</v>
      </c>
      <c r="D162" s="2">
        <v>-15.124000000000001</v>
      </c>
      <c r="E162" s="2">
        <v>13.51</v>
      </c>
      <c r="F162" s="4">
        <v>0.53700000000000003</v>
      </c>
      <c r="G162" s="4">
        <v>6.7864885493967799</v>
      </c>
      <c r="H162" s="2" t="s">
        <v>1408</v>
      </c>
      <c r="I162" s="4" t="s">
        <v>1408</v>
      </c>
      <c r="J162" s="4">
        <v>21.5687793063633</v>
      </c>
      <c r="K162" s="4">
        <v>0.88294899999999998</v>
      </c>
      <c r="L162" s="4" t="s">
        <v>1408</v>
      </c>
      <c r="N162" s="5" t="s">
        <v>1408</v>
      </c>
      <c r="O162" s="5">
        <v>23384</v>
      </c>
      <c r="P162" s="6" t="e">
        <v>#VALUE!</v>
      </c>
      <c r="Q162" s="1"/>
      <c r="R162" s="7" t="e">
        <f ca="1">_xll.SNL.Clients.Office.Excel.Functions.SPG(A162, "SP_TOTAL_DEBT", "LTM")</f>
        <v>#NAME?</v>
      </c>
      <c r="S162" s="8" t="e">
        <f ca="1">_xll.SNL.Clients.Office.Excel.Functions.SPG(A162, "SP_DEBT_TO_EQUITY", "LTM")</f>
        <v>#NAME?</v>
      </c>
      <c r="U162" s="9" t="e">
        <f t="shared" ca="1" si="2"/>
        <v>#VALUE!</v>
      </c>
      <c r="Y162" s="1"/>
      <c r="Z162" s="1"/>
      <c r="AA162" s="10"/>
      <c r="AB162" s="1" t="s">
        <v>369</v>
      </c>
      <c r="AC162" s="1" t="s">
        <v>34</v>
      </c>
      <c r="AD162" s="10">
        <v>331.94815584000003</v>
      </c>
      <c r="AE162" s="1" t="s">
        <v>25</v>
      </c>
    </row>
    <row r="163" spans="1:31" x14ac:dyDescent="0.2">
      <c r="A163" s="1" t="s">
        <v>370</v>
      </c>
      <c r="B163" s="2">
        <v>5.891</v>
      </c>
      <c r="C163" s="3" t="s">
        <v>1408</v>
      </c>
      <c r="D163" s="2" t="s">
        <v>1408</v>
      </c>
      <c r="E163" s="2">
        <v>36.435644000000003</v>
      </c>
      <c r="F163" s="4" t="s">
        <v>1408</v>
      </c>
      <c r="G163" s="4" t="s">
        <v>1408</v>
      </c>
      <c r="H163" s="2">
        <v>0.36899999999999999</v>
      </c>
      <c r="I163" s="4" t="s">
        <v>1408</v>
      </c>
      <c r="J163" s="4" t="s">
        <v>1408</v>
      </c>
      <c r="K163" s="4" t="s">
        <v>1409</v>
      </c>
      <c r="L163" s="4" t="s">
        <v>1408</v>
      </c>
      <c r="N163" s="5" t="s">
        <v>1408</v>
      </c>
      <c r="O163" s="5">
        <v>8727.4830000000002</v>
      </c>
      <c r="P163" s="6" t="e">
        <v>#VALUE!</v>
      </c>
      <c r="Q163" s="1"/>
      <c r="R163" s="7" t="e">
        <f ca="1">_xll.SNL.Clients.Office.Excel.Functions.SPG(A163, "SP_TOTAL_DEBT", "LTM")</f>
        <v>#NAME?</v>
      </c>
      <c r="S163" s="8" t="e">
        <f ca="1">_xll.SNL.Clients.Office.Excel.Functions.SPG(A163, "SP_DEBT_TO_EQUITY", "LTM")</f>
        <v>#NAME?</v>
      </c>
      <c r="U163" s="9" t="e">
        <f t="shared" ca="1" si="2"/>
        <v>#VALUE!</v>
      </c>
      <c r="Y163" s="1"/>
      <c r="Z163" s="1"/>
      <c r="AA163" s="10"/>
      <c r="AB163" s="1" t="s">
        <v>371</v>
      </c>
      <c r="AC163" s="1" t="s">
        <v>37</v>
      </c>
      <c r="AD163" s="10">
        <v>317.17287499999998</v>
      </c>
      <c r="AE163" s="1" t="s">
        <v>25</v>
      </c>
    </row>
    <row r="164" spans="1:31" x14ac:dyDescent="0.2">
      <c r="A164" s="1" t="s">
        <v>372</v>
      </c>
      <c r="B164" s="2">
        <v>15.041</v>
      </c>
      <c r="C164" s="3">
        <v>-13.8339920948616</v>
      </c>
      <c r="D164" s="2">
        <v>13.837999999999999</v>
      </c>
      <c r="E164" s="2">
        <v>19.724771</v>
      </c>
      <c r="F164" s="4">
        <v>1.327</v>
      </c>
      <c r="G164" s="4">
        <v>14.0307066114786</v>
      </c>
      <c r="H164" s="2">
        <v>1.0549999999999999</v>
      </c>
      <c r="I164" s="4">
        <v>8.4000000000000005E-2</v>
      </c>
      <c r="J164" s="4" t="s">
        <v>1408</v>
      </c>
      <c r="K164" s="4">
        <v>2.5197769999999999</v>
      </c>
      <c r="L164" s="4">
        <v>3.6280610000000002</v>
      </c>
      <c r="N164" s="5" t="s">
        <v>1408</v>
      </c>
      <c r="O164" s="5">
        <v>30059</v>
      </c>
      <c r="P164" s="6" t="e">
        <v>#VALUE!</v>
      </c>
      <c r="Q164" s="1"/>
      <c r="R164" s="7" t="e">
        <f ca="1">_xll.SNL.Clients.Office.Excel.Functions.SPG(A164, "SP_TOTAL_DEBT", "LTM")</f>
        <v>#NAME?</v>
      </c>
      <c r="S164" s="8" t="e">
        <f ca="1">_xll.SNL.Clients.Office.Excel.Functions.SPG(A164, "SP_DEBT_TO_EQUITY", "LTM")</f>
        <v>#NAME?</v>
      </c>
      <c r="U164" s="9" t="e">
        <f t="shared" ca="1" si="2"/>
        <v>#VALUE!</v>
      </c>
      <c r="Y164" s="1"/>
      <c r="Z164" s="1"/>
      <c r="AA164" s="10"/>
      <c r="AB164" s="1" t="s">
        <v>373</v>
      </c>
      <c r="AC164" s="1" t="s">
        <v>57</v>
      </c>
      <c r="AD164" s="10">
        <v>586.82450840000001</v>
      </c>
      <c r="AE164" s="1" t="s">
        <v>25</v>
      </c>
    </row>
    <row r="165" spans="1:31" x14ac:dyDescent="0.2">
      <c r="A165" s="1" t="s">
        <v>374</v>
      </c>
      <c r="B165" s="2" t="s">
        <v>1408</v>
      </c>
      <c r="C165" s="3">
        <v>0.62111801242236497</v>
      </c>
      <c r="D165" s="2">
        <v>1.0429999999999999</v>
      </c>
      <c r="E165" s="2">
        <v>8.0823049999999999</v>
      </c>
      <c r="F165" s="4">
        <v>1.573</v>
      </c>
      <c r="G165" s="4">
        <v>13.564944521949499</v>
      </c>
      <c r="H165" s="2" t="s">
        <v>1408</v>
      </c>
      <c r="I165" s="4" t="s">
        <v>1408</v>
      </c>
      <c r="J165" s="4">
        <v>50.3661344506096</v>
      </c>
      <c r="K165" s="4">
        <v>1.043072</v>
      </c>
      <c r="L165" s="4" t="s">
        <v>1408</v>
      </c>
      <c r="N165" s="5" t="s">
        <v>1408</v>
      </c>
      <c r="O165" s="5">
        <v>354124</v>
      </c>
      <c r="P165" s="6" t="e">
        <v>#VALUE!</v>
      </c>
      <c r="Q165" s="1"/>
      <c r="R165" s="7" t="e">
        <f ca="1">_xll.SNL.Clients.Office.Excel.Functions.SPG(A165, "SP_TOTAL_DEBT", "LTM")</f>
        <v>#NAME?</v>
      </c>
      <c r="S165" s="8" t="e">
        <f ca="1">_xll.SNL.Clients.Office.Excel.Functions.SPG(A165, "SP_DEBT_TO_EQUITY", "LTM")</f>
        <v>#NAME?</v>
      </c>
      <c r="U165" s="9" t="e">
        <f t="shared" ca="1" si="2"/>
        <v>#VALUE!</v>
      </c>
      <c r="Y165" s="1"/>
      <c r="Z165" s="1"/>
      <c r="AA165" s="10"/>
      <c r="AB165" s="1" t="s">
        <v>375</v>
      </c>
      <c r="AC165" s="1" t="s">
        <v>34</v>
      </c>
      <c r="AD165" s="10">
        <v>2991.7797245900001</v>
      </c>
      <c r="AE165" s="1" t="s">
        <v>25</v>
      </c>
    </row>
    <row r="166" spans="1:31" x14ac:dyDescent="0.2">
      <c r="A166" s="1" t="s">
        <v>376</v>
      </c>
      <c r="B166" s="2">
        <v>11.597</v>
      </c>
      <c r="C166" s="3">
        <v>225.57077625570801</v>
      </c>
      <c r="D166" s="2">
        <v>13.268000000000001</v>
      </c>
      <c r="E166" s="2">
        <v>27.190656000000001</v>
      </c>
      <c r="F166" s="4" t="s">
        <v>1408</v>
      </c>
      <c r="G166" s="4">
        <v>20.695067797819501</v>
      </c>
      <c r="H166" s="2" t="s">
        <v>1408</v>
      </c>
      <c r="I166" s="4" t="s">
        <v>1408</v>
      </c>
      <c r="J166" s="4" t="s">
        <v>1408</v>
      </c>
      <c r="K166" s="4">
        <v>5.0268879999999996</v>
      </c>
      <c r="L166" s="4">
        <v>16.117673</v>
      </c>
      <c r="N166" s="5" t="s">
        <v>1408</v>
      </c>
      <c r="O166" s="5">
        <v>761400</v>
      </c>
      <c r="P166" s="6" t="e">
        <v>#VALUE!</v>
      </c>
      <c r="Q166" s="1"/>
      <c r="R166" s="7" t="e">
        <f ca="1">_xll.SNL.Clients.Office.Excel.Functions.SPG(A166, "SP_TOTAL_DEBT", "LTM")</f>
        <v>#NAME?</v>
      </c>
      <c r="S166" s="8" t="e">
        <f ca="1">_xll.SNL.Clients.Office.Excel.Functions.SPG(A166, "SP_DEBT_TO_EQUITY", "LTM")</f>
        <v>#NAME?</v>
      </c>
      <c r="U166" s="9" t="e">
        <f t="shared" ca="1" si="2"/>
        <v>#VALUE!</v>
      </c>
      <c r="Y166" s="1"/>
      <c r="Z166" s="1"/>
      <c r="AA166" s="10"/>
      <c r="AB166" s="1" t="s">
        <v>377</v>
      </c>
      <c r="AC166" s="1" t="s">
        <v>177</v>
      </c>
      <c r="AD166" s="10">
        <v>19406.468577650001</v>
      </c>
      <c r="AE166" s="1" t="s">
        <v>25</v>
      </c>
    </row>
    <row r="167" spans="1:31" x14ac:dyDescent="0.2">
      <c r="A167" s="1" t="s">
        <v>378</v>
      </c>
      <c r="B167" s="2">
        <v>7.0060000000000002</v>
      </c>
      <c r="C167" s="3">
        <v>139.130434782609</v>
      </c>
      <c r="D167" s="2">
        <v>4.0359999999999996</v>
      </c>
      <c r="E167" s="2">
        <v>15.135354</v>
      </c>
      <c r="F167" s="4">
        <v>3.8759999999999999</v>
      </c>
      <c r="G167" s="4">
        <v>10.6482029431491</v>
      </c>
      <c r="H167" s="2">
        <v>1.1100000000000001</v>
      </c>
      <c r="I167" s="4">
        <v>1.752</v>
      </c>
      <c r="J167" s="4" t="s">
        <v>1408</v>
      </c>
      <c r="K167" s="4">
        <v>1.549663</v>
      </c>
      <c r="L167" s="4">
        <v>6.4710900000000002</v>
      </c>
      <c r="N167" s="5">
        <v>6726000</v>
      </c>
      <c r="O167" s="5">
        <v>2699000</v>
      </c>
      <c r="P167" s="6">
        <v>2.4920340866987774</v>
      </c>
      <c r="Q167" s="1"/>
      <c r="R167" s="7" t="e">
        <f ca="1">_xll.SNL.Clients.Office.Excel.Functions.SPG(A167, "SP_TOTAL_DEBT", "LTM")</f>
        <v>#NAME?</v>
      </c>
      <c r="S167" s="8" t="e">
        <f ca="1">_xll.SNL.Clients.Office.Excel.Functions.SPG(A167, "SP_DEBT_TO_EQUITY", "LTM")</f>
        <v>#NAME?</v>
      </c>
      <c r="U167" s="9" t="e">
        <f t="shared" ca="1" si="2"/>
        <v>#NAME?</v>
      </c>
      <c r="Y167" s="1"/>
      <c r="Z167" s="1"/>
      <c r="AA167" s="10"/>
      <c r="AB167" s="1" t="s">
        <v>379</v>
      </c>
      <c r="AC167" s="1" t="s">
        <v>74</v>
      </c>
      <c r="AD167" s="10">
        <v>40230.677309999999</v>
      </c>
      <c r="AE167" s="1" t="s">
        <v>25</v>
      </c>
    </row>
    <row r="168" spans="1:31" x14ac:dyDescent="0.2">
      <c r="A168" s="1" t="s">
        <v>380</v>
      </c>
      <c r="B168" s="2" t="s">
        <v>1408</v>
      </c>
      <c r="C168" s="3">
        <v>4.8771741079433397</v>
      </c>
      <c r="D168" s="2">
        <v>1.0640000000000001</v>
      </c>
      <c r="E168" s="2">
        <v>11.113771</v>
      </c>
      <c r="F168" s="4">
        <v>1.3</v>
      </c>
      <c r="G168" s="4">
        <v>10.798712451557</v>
      </c>
      <c r="H168" s="2" t="s">
        <v>1408</v>
      </c>
      <c r="I168" s="4" t="s">
        <v>1408</v>
      </c>
      <c r="J168" s="4">
        <v>44.4013669337916</v>
      </c>
      <c r="K168" s="4">
        <v>1.201959</v>
      </c>
      <c r="L168" s="4" t="s">
        <v>1408</v>
      </c>
      <c r="N168" s="5" t="s">
        <v>1408</v>
      </c>
      <c r="O168" s="5">
        <v>293255</v>
      </c>
      <c r="P168" s="6" t="e">
        <v>#VALUE!</v>
      </c>
      <c r="Q168" s="1"/>
      <c r="R168" s="7" t="e">
        <f ca="1">_xll.SNL.Clients.Office.Excel.Functions.SPG(A168, "SP_TOTAL_DEBT", "LTM")</f>
        <v>#NAME?</v>
      </c>
      <c r="S168" s="8" t="e">
        <f ca="1">_xll.SNL.Clients.Office.Excel.Functions.SPG(A168, "SP_DEBT_TO_EQUITY", "LTM")</f>
        <v>#NAME?</v>
      </c>
      <c r="U168" s="9" t="e">
        <f t="shared" ca="1" si="2"/>
        <v>#VALUE!</v>
      </c>
      <c r="Y168" s="1"/>
      <c r="Z168" s="1"/>
      <c r="AA168" s="10"/>
      <c r="AB168" s="1" t="s">
        <v>381</v>
      </c>
      <c r="AC168" s="1" t="s">
        <v>34</v>
      </c>
      <c r="AD168" s="10">
        <v>2913.3018860000002</v>
      </c>
      <c r="AE168" s="1" t="s">
        <v>25</v>
      </c>
    </row>
    <row r="169" spans="1:31" x14ac:dyDescent="0.2">
      <c r="A169" s="1" t="s">
        <v>382</v>
      </c>
      <c r="B169" s="2" t="s">
        <v>1408</v>
      </c>
      <c r="C169" s="3">
        <v>-19.0298507462687</v>
      </c>
      <c r="D169" s="2">
        <v>-8.984</v>
      </c>
      <c r="E169" s="2" t="s">
        <v>1408</v>
      </c>
      <c r="F169" s="4">
        <v>0.77800000000000002</v>
      </c>
      <c r="G169" s="4">
        <v>12.382154366962901</v>
      </c>
      <c r="H169" s="2" t="s">
        <v>1408</v>
      </c>
      <c r="I169" s="4" t="s">
        <v>1408</v>
      </c>
      <c r="J169" s="4">
        <v>30.001143366307002</v>
      </c>
      <c r="K169" s="4" t="s">
        <v>1408</v>
      </c>
      <c r="L169" s="4" t="s">
        <v>1408</v>
      </c>
      <c r="N169" s="5" t="s">
        <v>1408</v>
      </c>
      <c r="O169" s="5">
        <v>58669</v>
      </c>
      <c r="P169" s="6" t="e">
        <v>#VALUE!</v>
      </c>
      <c r="Q169" s="1"/>
      <c r="R169" s="7" t="e">
        <f ca="1">_xll.SNL.Clients.Office.Excel.Functions.SPG(A169, "SP_TOTAL_DEBT", "LTM")</f>
        <v>#NAME?</v>
      </c>
      <c r="S169" s="8" t="e">
        <f ca="1">_xll.SNL.Clients.Office.Excel.Functions.SPG(A169, "SP_DEBT_TO_EQUITY", "LTM")</f>
        <v>#NAME?</v>
      </c>
      <c r="U169" s="9" t="e">
        <f t="shared" ca="1" si="2"/>
        <v>#VALUE!</v>
      </c>
      <c r="Y169" s="1"/>
      <c r="Z169" s="1"/>
      <c r="AA169" s="10"/>
      <c r="AB169" s="1" t="s">
        <v>383</v>
      </c>
      <c r="AC169" s="1" t="s">
        <v>34</v>
      </c>
      <c r="AD169" s="10">
        <v>521.12186663</v>
      </c>
      <c r="AE169" s="1" t="s">
        <v>25</v>
      </c>
    </row>
    <row r="170" spans="1:31" x14ac:dyDescent="0.2">
      <c r="A170" s="1" t="s">
        <v>384</v>
      </c>
      <c r="B170" s="2">
        <v>0.74299999999999999</v>
      </c>
      <c r="C170" s="3" t="s">
        <v>1408</v>
      </c>
      <c r="D170" s="2">
        <v>-27.521999999999998</v>
      </c>
      <c r="E170" s="2">
        <v>6.1090739999999997</v>
      </c>
      <c r="F170" s="4">
        <v>0.55200000000000005</v>
      </c>
      <c r="G170" s="4" t="s">
        <v>1408</v>
      </c>
      <c r="H170" s="2">
        <v>0.76100000000000001</v>
      </c>
      <c r="I170" s="4">
        <v>1.4E-2</v>
      </c>
      <c r="J170" s="4" t="s">
        <v>1408</v>
      </c>
      <c r="K170" s="4">
        <v>0.86719299999999999</v>
      </c>
      <c r="L170" s="4">
        <v>98.891542999999999</v>
      </c>
      <c r="N170" s="5">
        <v>6491.951</v>
      </c>
      <c r="O170" s="5">
        <v>175430.26699999999</v>
      </c>
      <c r="P170" s="6">
        <v>3.7005877668760546E-2</v>
      </c>
      <c r="Q170" s="1"/>
      <c r="R170" s="7" t="e">
        <f ca="1">_xll.SNL.Clients.Office.Excel.Functions.SPG(A170, "SP_TOTAL_DEBT", "LTM")</f>
        <v>#NAME?</v>
      </c>
      <c r="S170" s="8" t="e">
        <f ca="1">_xll.SNL.Clients.Office.Excel.Functions.SPG(A170, "SP_DEBT_TO_EQUITY", "LTM")</f>
        <v>#NAME?</v>
      </c>
      <c r="U170" s="9" t="e">
        <f t="shared" ca="1" si="2"/>
        <v>#NAME?</v>
      </c>
      <c r="Y170" s="1"/>
      <c r="Z170" s="1"/>
      <c r="AA170" s="10"/>
      <c r="AB170" s="1" t="s">
        <v>385</v>
      </c>
      <c r="AC170" s="1" t="s">
        <v>37</v>
      </c>
      <c r="AD170" s="10">
        <v>1046.3258112999999</v>
      </c>
      <c r="AE170" s="1" t="s">
        <v>25</v>
      </c>
    </row>
    <row r="171" spans="1:31" x14ac:dyDescent="0.2">
      <c r="A171" s="1" t="s">
        <v>386</v>
      </c>
      <c r="B171" s="2" t="s">
        <v>1408</v>
      </c>
      <c r="C171" s="3" t="s">
        <v>1409</v>
      </c>
      <c r="D171" s="2" t="s">
        <v>1409</v>
      </c>
      <c r="E171" s="2">
        <v>9.1992189999999994</v>
      </c>
      <c r="F171" s="4">
        <v>1.452</v>
      </c>
      <c r="G171" s="4">
        <v>-16.870334127748201</v>
      </c>
      <c r="H171" s="2">
        <v>3.8490000000000002</v>
      </c>
      <c r="I171" s="4">
        <v>2.3E-2</v>
      </c>
      <c r="J171" s="4" t="s">
        <v>1408</v>
      </c>
      <c r="K171" s="4">
        <v>0.42822100000000002</v>
      </c>
      <c r="L171" s="4" t="s">
        <v>1408</v>
      </c>
      <c r="N171" s="5" t="s">
        <v>1408</v>
      </c>
      <c r="O171" s="5">
        <v>192759</v>
      </c>
      <c r="P171" s="6" t="e">
        <v>#VALUE!</v>
      </c>
      <c r="Q171" s="1"/>
      <c r="R171" s="7" t="e">
        <f ca="1">_xll.SNL.Clients.Office.Excel.Functions.SPG(A171, "SP_TOTAL_DEBT", "LTM")</f>
        <v>#NAME?</v>
      </c>
      <c r="S171" s="8" t="e">
        <f ca="1">_xll.SNL.Clients.Office.Excel.Functions.SPG(A171, "SP_DEBT_TO_EQUITY", "LTM")</f>
        <v>#NAME?</v>
      </c>
      <c r="U171" s="9" t="e">
        <f t="shared" ca="1" si="2"/>
        <v>#VALUE!</v>
      </c>
      <c r="Y171" s="1"/>
      <c r="Z171" s="1"/>
      <c r="AA171" s="10"/>
      <c r="AB171" s="1" t="s">
        <v>387</v>
      </c>
      <c r="AC171" s="1" t="s">
        <v>65</v>
      </c>
      <c r="AD171" s="10">
        <v>1088.4587472000001</v>
      </c>
      <c r="AE171" s="1" t="s">
        <v>25</v>
      </c>
    </row>
    <row r="172" spans="1:31" x14ac:dyDescent="0.2">
      <c r="A172" s="1" t="s">
        <v>388</v>
      </c>
      <c r="B172" s="2" t="s">
        <v>1410</v>
      </c>
      <c r="C172" s="3" t="s">
        <v>1410</v>
      </c>
      <c r="D172" s="2" t="s">
        <v>1410</v>
      </c>
      <c r="E172" s="2" t="s">
        <v>1410</v>
      </c>
      <c r="F172" s="4" t="s">
        <v>1410</v>
      </c>
      <c r="G172" s="4" t="s">
        <v>1410</v>
      </c>
      <c r="H172" s="2" t="s">
        <v>1410</v>
      </c>
      <c r="I172" s="4" t="s">
        <v>1410</v>
      </c>
      <c r="J172" s="4" t="s">
        <v>1410</v>
      </c>
      <c r="K172" s="4" t="s">
        <v>1410</v>
      </c>
      <c r="L172" s="4" t="s">
        <v>1410</v>
      </c>
      <c r="N172" s="5" t="s">
        <v>1410</v>
      </c>
      <c r="O172" s="5" t="s">
        <v>1410</v>
      </c>
      <c r="P172" s="6" t="e">
        <v>#VALUE!</v>
      </c>
      <c r="Q172" s="1"/>
      <c r="R172" s="7" t="e">
        <f ca="1">_xll.SNL.Clients.Office.Excel.Functions.SPG(A172, "SP_TOTAL_DEBT", "LTM")</f>
        <v>#NAME?</v>
      </c>
      <c r="S172" s="8" t="e">
        <f ca="1">_xll.SNL.Clients.Office.Excel.Functions.SPG(A172, "SP_DEBT_TO_EQUITY", "LTM")</f>
        <v>#NAME?</v>
      </c>
      <c r="U172" s="9" t="e">
        <f t="shared" ca="1" si="2"/>
        <v>#VALUE!</v>
      </c>
      <c r="Y172" s="1"/>
      <c r="Z172" s="1"/>
      <c r="AA172" s="10"/>
      <c r="AB172" s="1" t="s">
        <v>389</v>
      </c>
      <c r="AC172" s="1" t="s">
        <v>37</v>
      </c>
      <c r="AD172" s="10">
        <v>980.6703526</v>
      </c>
      <c r="AE172" s="1" t="s">
        <v>25</v>
      </c>
    </row>
    <row r="173" spans="1:31" x14ac:dyDescent="0.2">
      <c r="A173" s="1" t="s">
        <v>390</v>
      </c>
      <c r="B173" s="2">
        <v>9.2420000000000009</v>
      </c>
      <c r="C173" s="3">
        <v>-21.782178217821802</v>
      </c>
      <c r="D173" s="2">
        <v>5.9409999999999998</v>
      </c>
      <c r="E173" s="2">
        <v>48.489426000000002</v>
      </c>
      <c r="F173" s="4">
        <v>5.2370000000000001</v>
      </c>
      <c r="G173" s="4">
        <v>18.121340376041701</v>
      </c>
      <c r="H173" s="2">
        <v>0.34799999999999998</v>
      </c>
      <c r="I173" s="4">
        <v>0.32600000000000001</v>
      </c>
      <c r="J173" s="4" t="s">
        <v>1408</v>
      </c>
      <c r="K173" s="4">
        <v>2.0505939999999998</v>
      </c>
      <c r="L173" s="4">
        <v>5.6979170000000003</v>
      </c>
      <c r="N173" s="5">
        <v>2623143.375</v>
      </c>
      <c r="O173" s="5">
        <v>61001</v>
      </c>
      <c r="P173" s="6">
        <v>43.001645464828442</v>
      </c>
      <c r="Q173" s="1"/>
      <c r="R173" s="7" t="e">
        <f ca="1">_xll.SNL.Clients.Office.Excel.Functions.SPG(A173, "SP_TOTAL_DEBT", "LTM")</f>
        <v>#NAME?</v>
      </c>
      <c r="S173" s="8" t="e">
        <f ca="1">_xll.SNL.Clients.Office.Excel.Functions.SPG(A173, "SP_DEBT_TO_EQUITY", "LTM")</f>
        <v>#NAME?</v>
      </c>
      <c r="U173" s="9" t="e">
        <f t="shared" ca="1" si="2"/>
        <v>#NAME?</v>
      </c>
      <c r="Y173" s="1"/>
      <c r="Z173" s="1"/>
      <c r="AA173" s="10"/>
      <c r="AB173" s="1" t="s">
        <v>391</v>
      </c>
      <c r="AC173" s="1" t="s">
        <v>37</v>
      </c>
      <c r="AD173" s="10">
        <v>1866.11965348422</v>
      </c>
      <c r="AE173" s="1" t="s">
        <v>25</v>
      </c>
    </row>
    <row r="174" spans="1:31" x14ac:dyDescent="0.2">
      <c r="A174" s="1" t="s">
        <v>392</v>
      </c>
      <c r="B174" s="2">
        <v>8.86</v>
      </c>
      <c r="C174" s="3">
        <v>61.530912659469998</v>
      </c>
      <c r="D174" s="2">
        <v>-8.4920000000000009</v>
      </c>
      <c r="E174" s="2" t="s">
        <v>1408</v>
      </c>
      <c r="F174" s="4" t="s">
        <v>1408</v>
      </c>
      <c r="G174" s="4">
        <v>8.99046834113188</v>
      </c>
      <c r="H174" s="2" t="s">
        <v>1408</v>
      </c>
      <c r="I174" s="4" t="s">
        <v>1408</v>
      </c>
      <c r="J174" s="4" t="s">
        <v>1408</v>
      </c>
      <c r="K174" s="4" t="s">
        <v>1408</v>
      </c>
      <c r="L174" s="4" t="s">
        <v>1408</v>
      </c>
      <c r="N174" s="5" t="s">
        <v>1408</v>
      </c>
      <c r="O174" s="5">
        <v>2309386</v>
      </c>
      <c r="P174" s="6" t="e">
        <v>#VALUE!</v>
      </c>
      <c r="Q174" s="1"/>
      <c r="R174" s="7" t="e">
        <f ca="1">_xll.SNL.Clients.Office.Excel.Functions.SPG(A174, "SP_TOTAL_DEBT", "LTM")</f>
        <v>#NAME?</v>
      </c>
      <c r="S174" s="8" t="e">
        <f ca="1">_xll.SNL.Clients.Office.Excel.Functions.SPG(A174, "SP_DEBT_TO_EQUITY", "LTM")</f>
        <v>#NAME?</v>
      </c>
      <c r="U174" s="9" t="e">
        <f t="shared" ca="1" si="2"/>
        <v>#VALUE!</v>
      </c>
      <c r="Y174" s="1"/>
      <c r="Z174" s="1"/>
      <c r="AA174" s="10"/>
      <c r="AB174" s="1" t="s">
        <v>393</v>
      </c>
      <c r="AC174" s="1" t="s">
        <v>57</v>
      </c>
      <c r="AD174" s="10">
        <v>2716.7163503901302</v>
      </c>
      <c r="AE174" s="1" t="s">
        <v>42</v>
      </c>
    </row>
    <row r="175" spans="1:31" x14ac:dyDescent="0.2">
      <c r="A175" s="1" t="s">
        <v>394</v>
      </c>
      <c r="B175" s="2">
        <v>11.939</v>
      </c>
      <c r="C175" s="3" t="s">
        <v>1409</v>
      </c>
      <c r="D175" s="2">
        <v>52.707000000000001</v>
      </c>
      <c r="E175" s="2">
        <v>9.6140650000000001</v>
      </c>
      <c r="F175" s="4">
        <v>4.66</v>
      </c>
      <c r="G175" s="4">
        <v>16.865898717670099</v>
      </c>
      <c r="H175" s="2">
        <v>1.087</v>
      </c>
      <c r="I175" s="4">
        <v>0.32</v>
      </c>
      <c r="J175" s="4" t="s">
        <v>1408</v>
      </c>
      <c r="K175" s="4">
        <v>1.4547669999999999</v>
      </c>
      <c r="L175" s="4">
        <v>7.1736680000000002</v>
      </c>
      <c r="N175" s="5" t="s">
        <v>1408</v>
      </c>
      <c r="O175" s="5">
        <v>1843000</v>
      </c>
      <c r="P175" s="6" t="e">
        <v>#VALUE!</v>
      </c>
      <c r="Q175" s="1"/>
      <c r="R175" s="7" t="e">
        <f ca="1">_xll.SNL.Clients.Office.Excel.Functions.SPG(A175, "SP_TOTAL_DEBT", "LTM")</f>
        <v>#NAME?</v>
      </c>
      <c r="S175" s="8" t="e">
        <f ca="1">_xll.SNL.Clients.Office.Excel.Functions.SPG(A175, "SP_DEBT_TO_EQUITY", "LTM")</f>
        <v>#NAME?</v>
      </c>
      <c r="U175" s="9" t="e">
        <f t="shared" ca="1" si="2"/>
        <v>#VALUE!</v>
      </c>
      <c r="Y175" s="1"/>
      <c r="Z175" s="1"/>
      <c r="AA175" s="10"/>
      <c r="AB175" s="1" t="s">
        <v>395</v>
      </c>
      <c r="AC175" s="1" t="s">
        <v>95</v>
      </c>
      <c r="AD175" s="10">
        <v>17385.375376</v>
      </c>
      <c r="AE175" s="1" t="s">
        <v>25</v>
      </c>
    </row>
    <row r="176" spans="1:31" x14ac:dyDescent="0.2">
      <c r="A176" s="1" t="s">
        <v>396</v>
      </c>
      <c r="B176" s="2" t="s">
        <v>1408</v>
      </c>
      <c r="C176" s="3">
        <v>-8.1871345029239695</v>
      </c>
      <c r="D176" s="2">
        <v>4.3129999999999997</v>
      </c>
      <c r="E176" s="2">
        <v>11.687898000000001</v>
      </c>
      <c r="F176" s="4">
        <v>0.97199999999999998</v>
      </c>
      <c r="G176" s="4">
        <v>9.7177396637343403</v>
      </c>
      <c r="H176" s="2" t="s">
        <v>1408</v>
      </c>
      <c r="I176" s="4" t="s">
        <v>1408</v>
      </c>
      <c r="J176" s="4" t="s">
        <v>1408</v>
      </c>
      <c r="K176" s="4">
        <v>1.0696589999999999</v>
      </c>
      <c r="L176" s="4" t="s">
        <v>1408</v>
      </c>
      <c r="N176" s="5" t="s">
        <v>1408</v>
      </c>
      <c r="O176" s="5">
        <v>24148</v>
      </c>
      <c r="P176" s="6" t="e">
        <v>#VALUE!</v>
      </c>
      <c r="Q176" s="1"/>
      <c r="R176" s="7" t="e">
        <f ca="1">_xll.SNL.Clients.Office.Excel.Functions.SPG(A176, "SP_TOTAL_DEBT", "LTM")</f>
        <v>#NAME?</v>
      </c>
      <c r="S176" s="8" t="e">
        <f ca="1">_xll.SNL.Clients.Office.Excel.Functions.SPG(A176, "SP_DEBT_TO_EQUITY", "LTM")</f>
        <v>#NAME?</v>
      </c>
      <c r="U176" s="9" t="e">
        <f t="shared" ca="1" si="2"/>
        <v>#VALUE!</v>
      </c>
      <c r="Y176" s="1"/>
      <c r="Z176" s="1"/>
      <c r="AA176" s="10"/>
      <c r="AB176" s="1" t="s">
        <v>397</v>
      </c>
      <c r="AC176" s="1" t="s">
        <v>34</v>
      </c>
      <c r="AD176" s="10">
        <v>310.03238644999999</v>
      </c>
      <c r="AE176" s="1" t="s">
        <v>25</v>
      </c>
    </row>
    <row r="177" spans="1:31" x14ac:dyDescent="0.2">
      <c r="A177" s="1" t="s">
        <v>398</v>
      </c>
      <c r="B177" s="2" t="s">
        <v>1408</v>
      </c>
      <c r="C177" s="3">
        <v>-23.658536585365798</v>
      </c>
      <c r="D177" s="2">
        <v>-0.13300000000000001</v>
      </c>
      <c r="E177" s="2">
        <v>10.076677</v>
      </c>
      <c r="F177" s="4">
        <v>0.71699999999999997</v>
      </c>
      <c r="G177" s="4">
        <v>6.8118275014826697</v>
      </c>
      <c r="H177" s="2" t="s">
        <v>1408</v>
      </c>
      <c r="I177" s="4" t="s">
        <v>1408</v>
      </c>
      <c r="J177" s="4">
        <v>30.600292825768701</v>
      </c>
      <c r="K177" s="4">
        <v>0.65885400000000005</v>
      </c>
      <c r="L177" s="4" t="s">
        <v>1408</v>
      </c>
      <c r="N177" s="5" t="s">
        <v>1408</v>
      </c>
      <c r="O177" s="5">
        <v>1608000</v>
      </c>
      <c r="P177" s="6" t="e">
        <v>#VALUE!</v>
      </c>
      <c r="Q177" s="1"/>
      <c r="R177" s="7" t="e">
        <f ca="1">_xll.SNL.Clients.Office.Excel.Functions.SPG(A177, "SP_TOTAL_DEBT", "LTM")</f>
        <v>#NAME?</v>
      </c>
      <c r="S177" s="8" t="e">
        <f ca="1">_xll.SNL.Clients.Office.Excel.Functions.SPG(A177, "SP_DEBT_TO_EQUITY", "LTM")</f>
        <v>#NAME?</v>
      </c>
      <c r="U177" s="9" t="e">
        <f t="shared" ca="1" si="2"/>
        <v>#VALUE!</v>
      </c>
      <c r="Y177" s="1"/>
      <c r="Z177" s="1"/>
      <c r="AA177" s="10"/>
      <c r="AB177" s="1" t="s">
        <v>399</v>
      </c>
      <c r="AC177" s="1" t="s">
        <v>34</v>
      </c>
      <c r="AD177" s="10">
        <v>15251.870398499999</v>
      </c>
      <c r="AE177" s="1" t="s">
        <v>25</v>
      </c>
    </row>
    <row r="178" spans="1:31" x14ac:dyDescent="0.2">
      <c r="A178" s="1" t="s">
        <v>400</v>
      </c>
      <c r="B178" s="2" t="s">
        <v>1408</v>
      </c>
      <c r="C178" s="3">
        <v>11.911764705882399</v>
      </c>
      <c r="D178" s="2">
        <v>13.904999999999999</v>
      </c>
      <c r="E178" s="2">
        <v>13.065702999999999</v>
      </c>
      <c r="F178" s="4">
        <v>1.899</v>
      </c>
      <c r="G178" s="4">
        <v>18.002043164606999</v>
      </c>
      <c r="H178" s="2" t="s">
        <v>1408</v>
      </c>
      <c r="I178" s="4" t="s">
        <v>1408</v>
      </c>
      <c r="J178" s="4">
        <v>51.7954130884794</v>
      </c>
      <c r="K178" s="4">
        <v>2.1781419999999998</v>
      </c>
      <c r="L178" s="4" t="s">
        <v>1408</v>
      </c>
      <c r="N178" s="5" t="s">
        <v>1408</v>
      </c>
      <c r="O178" s="5">
        <v>114365</v>
      </c>
      <c r="P178" s="6" t="e">
        <v>#VALUE!</v>
      </c>
      <c r="Q178" s="1"/>
      <c r="R178" s="7" t="e">
        <f ca="1">_xll.SNL.Clients.Office.Excel.Functions.SPG(A178, "SP_TOTAL_DEBT", "LTM")</f>
        <v>#NAME?</v>
      </c>
      <c r="S178" s="8" t="e">
        <f ca="1">_xll.SNL.Clients.Office.Excel.Functions.SPG(A178, "SP_DEBT_TO_EQUITY", "LTM")</f>
        <v>#NAME?</v>
      </c>
      <c r="U178" s="9" t="e">
        <f t="shared" ca="1" si="2"/>
        <v>#VALUE!</v>
      </c>
      <c r="Y178" s="1"/>
      <c r="Z178" s="1"/>
      <c r="AA178" s="10"/>
      <c r="AB178" s="1" t="s">
        <v>401</v>
      </c>
      <c r="AC178" s="1" t="s">
        <v>34</v>
      </c>
      <c r="AD178" s="10">
        <v>1515.96001557</v>
      </c>
      <c r="AE178" s="1" t="s">
        <v>25</v>
      </c>
    </row>
    <row r="179" spans="1:31" x14ac:dyDescent="0.2">
      <c r="A179" s="1" t="s">
        <v>402</v>
      </c>
      <c r="B179" s="2">
        <v>3.2320000000000002</v>
      </c>
      <c r="C179" s="3" t="s">
        <v>1408</v>
      </c>
      <c r="D179" s="2">
        <v>-69.081999999999994</v>
      </c>
      <c r="E179" s="2" t="s">
        <v>1409</v>
      </c>
      <c r="F179" s="4">
        <v>-1.7999999999999999E-2</v>
      </c>
      <c r="G179" s="4" t="s">
        <v>1408</v>
      </c>
      <c r="H179" s="2">
        <v>3.3319999999999999</v>
      </c>
      <c r="I179" s="4">
        <v>4.9000000000000002E-2</v>
      </c>
      <c r="J179" s="4" t="s">
        <v>1408</v>
      </c>
      <c r="K179" s="4">
        <v>0.93232400000000004</v>
      </c>
      <c r="L179" s="4" t="s">
        <v>1409</v>
      </c>
      <c r="N179" s="5">
        <v>22077.125</v>
      </c>
      <c r="O179" s="5">
        <v>-883</v>
      </c>
      <c r="P179" s="6">
        <v>-25.00240656851642</v>
      </c>
      <c r="Q179" s="1"/>
      <c r="R179" s="7" t="e">
        <f ca="1">_xll.SNL.Clients.Office.Excel.Functions.SPG(A179, "SP_TOTAL_DEBT", "LTM")</f>
        <v>#NAME?</v>
      </c>
      <c r="S179" s="8" t="e">
        <f ca="1">_xll.SNL.Clients.Office.Excel.Functions.SPG(A179, "SP_DEBT_TO_EQUITY", "LTM")</f>
        <v>#NAME?</v>
      </c>
      <c r="U179" s="9" t="e">
        <f t="shared" ca="1" si="2"/>
        <v>#NAME?</v>
      </c>
      <c r="Y179" s="1"/>
      <c r="Z179" s="1"/>
      <c r="AA179" s="10"/>
      <c r="AB179" s="1" t="s">
        <v>403</v>
      </c>
      <c r="AC179" s="1" t="s">
        <v>37</v>
      </c>
      <c r="AD179" s="10">
        <v>817.67095486176004</v>
      </c>
      <c r="AE179" s="1" t="s">
        <v>25</v>
      </c>
    </row>
    <row r="180" spans="1:31" x14ac:dyDescent="0.2">
      <c r="A180" s="1" t="s">
        <v>404</v>
      </c>
      <c r="B180" s="2" t="s">
        <v>1408</v>
      </c>
      <c r="C180" s="3">
        <v>-37.795275590551199</v>
      </c>
      <c r="D180" s="2">
        <v>-25.323</v>
      </c>
      <c r="E180" s="2" t="s">
        <v>1409</v>
      </c>
      <c r="F180" s="4">
        <v>-0.629</v>
      </c>
      <c r="G180" s="4">
        <v>4.3830852887314196</v>
      </c>
      <c r="H180" s="2">
        <v>15.836</v>
      </c>
      <c r="I180" s="4">
        <v>8.9999999999999993E-3</v>
      </c>
      <c r="J180" s="4" t="s">
        <v>1408</v>
      </c>
      <c r="K180" s="4">
        <v>0.66566000000000003</v>
      </c>
      <c r="L180" s="4" t="s">
        <v>1408</v>
      </c>
      <c r="N180" s="5" t="s">
        <v>1408</v>
      </c>
      <c r="O180" s="5">
        <v>-50669</v>
      </c>
      <c r="P180" s="6" t="e">
        <v>#VALUE!</v>
      </c>
      <c r="Q180" s="1"/>
      <c r="R180" s="7" t="e">
        <f ca="1">_xll.SNL.Clients.Office.Excel.Functions.SPG(A180, "SP_TOTAL_DEBT", "LTM")</f>
        <v>#NAME?</v>
      </c>
      <c r="S180" s="8" t="e">
        <f ca="1">_xll.SNL.Clients.Office.Excel.Functions.SPG(A180, "SP_DEBT_TO_EQUITY", "LTM")</f>
        <v>#NAME?</v>
      </c>
      <c r="U180" s="9" t="e">
        <f t="shared" ca="1" si="2"/>
        <v>#VALUE!</v>
      </c>
      <c r="Y180" s="1"/>
      <c r="Z180" s="1"/>
      <c r="AA180" s="10"/>
      <c r="AB180" s="1" t="s">
        <v>405</v>
      </c>
      <c r="AC180" s="1" t="s">
        <v>65</v>
      </c>
      <c r="AD180" s="10">
        <v>1628.6748206</v>
      </c>
      <c r="AE180" s="1" t="s">
        <v>25</v>
      </c>
    </row>
    <row r="181" spans="1:31" x14ac:dyDescent="0.2">
      <c r="A181" s="1" t="s">
        <v>406</v>
      </c>
      <c r="B181" s="2">
        <v>-49.104999999999997</v>
      </c>
      <c r="C181" s="3" t="s">
        <v>1409</v>
      </c>
      <c r="D181" s="2">
        <v>162.98099999999999</v>
      </c>
      <c r="E181" s="2" t="s">
        <v>1409</v>
      </c>
      <c r="F181" s="4">
        <v>-11.586</v>
      </c>
      <c r="G181" s="4">
        <v>-77.350937441592706</v>
      </c>
      <c r="H181" s="2">
        <v>1.274</v>
      </c>
      <c r="I181" s="4">
        <v>1.8640000000000001</v>
      </c>
      <c r="J181" s="4" t="s">
        <v>1408</v>
      </c>
      <c r="K181" s="4">
        <v>1.458699</v>
      </c>
      <c r="L181" s="4" t="s">
        <v>1409</v>
      </c>
      <c r="N181" s="5">
        <v>42650.75</v>
      </c>
      <c r="O181" s="5">
        <v>-226935</v>
      </c>
      <c r="P181" s="6">
        <v>-0.18794258267785929</v>
      </c>
      <c r="Q181" s="1"/>
      <c r="R181" s="7" t="e">
        <f ca="1">_xll.SNL.Clients.Office.Excel.Functions.SPG(A181, "SP_TOTAL_DEBT", "LTM")</f>
        <v>#NAME?</v>
      </c>
      <c r="S181" s="8" t="e">
        <f ca="1">_xll.SNL.Clients.Office.Excel.Functions.SPG(A181, "SP_DEBT_TO_EQUITY", "LTM")</f>
        <v>#NAME?</v>
      </c>
      <c r="U181" s="9" t="e">
        <f t="shared" ca="1" si="2"/>
        <v>#NAME?</v>
      </c>
      <c r="Y181" s="1"/>
      <c r="Z181" s="1"/>
      <c r="AA181" s="10"/>
      <c r="AB181" s="1" t="s">
        <v>407</v>
      </c>
      <c r="AC181" s="1" t="s">
        <v>74</v>
      </c>
      <c r="AD181" s="10">
        <v>467.26042043339999</v>
      </c>
      <c r="AE181" s="1" t="s">
        <v>25</v>
      </c>
    </row>
    <row r="182" spans="1:31" x14ac:dyDescent="0.2">
      <c r="A182" s="1" t="s">
        <v>408</v>
      </c>
      <c r="B182" s="2">
        <v>8.3079999999999998</v>
      </c>
      <c r="C182" s="3">
        <v>76.494023904382502</v>
      </c>
      <c r="D182" s="2">
        <v>11.954000000000001</v>
      </c>
      <c r="E182" s="2">
        <v>10.404063000000001</v>
      </c>
      <c r="F182" s="4">
        <v>1.637</v>
      </c>
      <c r="G182" s="4">
        <v>13.069414316702799</v>
      </c>
      <c r="H182" s="2">
        <v>0.251</v>
      </c>
      <c r="I182" s="4">
        <v>0.21199999999999999</v>
      </c>
      <c r="J182" s="4" t="s">
        <v>1408</v>
      </c>
      <c r="K182" s="4">
        <v>1.2620830000000001</v>
      </c>
      <c r="L182" s="4">
        <v>9.1070759999999993</v>
      </c>
      <c r="N182" s="5">
        <v>2569625</v>
      </c>
      <c r="O182" s="5">
        <v>1205000</v>
      </c>
      <c r="P182" s="6">
        <v>2.1324688796680498</v>
      </c>
      <c r="Q182" s="1"/>
      <c r="R182" s="7" t="e">
        <f ca="1">_xll.SNL.Clients.Office.Excel.Functions.SPG(A182, "SP_TOTAL_DEBT", "LTM")</f>
        <v>#NAME?</v>
      </c>
      <c r="S182" s="8" t="e">
        <f ca="1">_xll.SNL.Clients.Office.Excel.Functions.SPG(A182, "SP_DEBT_TO_EQUITY", "LTM")</f>
        <v>#NAME?</v>
      </c>
      <c r="U182" s="9" t="e">
        <f t="shared" ca="1" si="2"/>
        <v>#NAME?</v>
      </c>
      <c r="Y182" s="1"/>
      <c r="Z182" s="1"/>
      <c r="AA182" s="10"/>
      <c r="AB182" s="1" t="s">
        <v>409</v>
      </c>
      <c r="AC182" s="1" t="s">
        <v>95</v>
      </c>
      <c r="AD182" s="10">
        <v>11937.264036750001</v>
      </c>
      <c r="AE182" s="1" t="s">
        <v>25</v>
      </c>
    </row>
    <row r="183" spans="1:31" x14ac:dyDescent="0.2">
      <c r="A183" s="1" t="s">
        <v>410</v>
      </c>
      <c r="B183" s="2" t="s">
        <v>1408</v>
      </c>
      <c r="C183" s="3">
        <v>-21.779141104294499</v>
      </c>
      <c r="D183" s="2">
        <v>0.61899999999999999</v>
      </c>
      <c r="E183" s="2">
        <v>7.9411759999999996</v>
      </c>
      <c r="F183" s="4">
        <v>1.0329999999999999</v>
      </c>
      <c r="G183" s="4">
        <v>10.5427077787449</v>
      </c>
      <c r="H183" s="2" t="s">
        <v>1408</v>
      </c>
      <c r="I183" s="4" t="s">
        <v>1408</v>
      </c>
      <c r="J183" s="4">
        <v>32.464574785569503</v>
      </c>
      <c r="K183" s="4">
        <v>0.81897600000000004</v>
      </c>
      <c r="L183" s="4" t="s">
        <v>1408</v>
      </c>
      <c r="N183" s="5" t="s">
        <v>1408</v>
      </c>
      <c r="O183" s="5">
        <v>58020</v>
      </c>
      <c r="P183" s="6" t="e">
        <v>#VALUE!</v>
      </c>
      <c r="Q183" s="1"/>
      <c r="R183" s="7" t="e">
        <f ca="1">_xll.SNL.Clients.Office.Excel.Functions.SPG(A183, "SP_TOTAL_DEBT", "LTM")</f>
        <v>#NAME?</v>
      </c>
      <c r="S183" s="8" t="e">
        <f ca="1">_xll.SNL.Clients.Office.Excel.Functions.SPG(A183, "SP_DEBT_TO_EQUITY", "LTM")</f>
        <v>#NAME?</v>
      </c>
      <c r="U183" s="9" t="e">
        <f t="shared" ca="1" si="2"/>
        <v>#VALUE!</v>
      </c>
      <c r="Y183" s="1"/>
      <c r="Z183" s="1"/>
      <c r="AA183" s="10"/>
      <c r="AB183" s="1" t="s">
        <v>411</v>
      </c>
      <c r="AC183" s="1" t="s">
        <v>34</v>
      </c>
      <c r="AD183" s="10">
        <v>443.35883969999998</v>
      </c>
      <c r="AE183" s="1" t="s">
        <v>25</v>
      </c>
    </row>
    <row r="184" spans="1:31" x14ac:dyDescent="0.2">
      <c r="A184" s="1" t="s">
        <v>412</v>
      </c>
      <c r="B184" s="2" t="s">
        <v>1408</v>
      </c>
      <c r="C184" s="3">
        <v>-55.223880597014897</v>
      </c>
      <c r="D184" s="2" t="s">
        <v>1408</v>
      </c>
      <c r="E184" s="2">
        <v>69.53125</v>
      </c>
      <c r="F184" s="4" t="s">
        <v>1408</v>
      </c>
      <c r="G184" s="4">
        <v>13.9824776545848</v>
      </c>
      <c r="H184" s="2" t="s">
        <v>1408</v>
      </c>
      <c r="I184" s="4" t="s">
        <v>1408</v>
      </c>
      <c r="J184" s="4" t="s">
        <v>1408</v>
      </c>
      <c r="K184" s="4">
        <v>1.584476</v>
      </c>
      <c r="L184" s="4">
        <v>8.6459030000000006</v>
      </c>
      <c r="N184" s="5" t="s">
        <v>1408</v>
      </c>
      <c r="O184" s="5">
        <v>276500</v>
      </c>
      <c r="P184" s="6" t="e">
        <v>#VALUE!</v>
      </c>
      <c r="Q184" s="1"/>
      <c r="R184" s="7" t="e">
        <f ca="1">_xll.SNL.Clients.Office.Excel.Functions.SPG(A184, "SP_TOTAL_DEBT", "LTM")</f>
        <v>#NAME?</v>
      </c>
      <c r="S184" s="8" t="e">
        <f ca="1">_xll.SNL.Clients.Office.Excel.Functions.SPG(A184, "SP_DEBT_TO_EQUITY", "LTM")</f>
        <v>#NAME?</v>
      </c>
      <c r="U184" s="9" t="e">
        <f t="shared" ca="1" si="2"/>
        <v>#VALUE!</v>
      </c>
      <c r="Y184" s="1"/>
      <c r="Z184" s="1"/>
      <c r="AA184" s="10"/>
      <c r="AB184" s="1" t="s">
        <v>413</v>
      </c>
      <c r="AC184" s="1" t="s">
        <v>60</v>
      </c>
      <c r="AD184" s="10">
        <v>3048.7981582799998</v>
      </c>
      <c r="AE184" s="1" t="s">
        <v>25</v>
      </c>
    </row>
    <row r="185" spans="1:31" x14ac:dyDescent="0.2">
      <c r="A185" s="1" t="s">
        <v>414</v>
      </c>
      <c r="B185" s="2" t="s">
        <v>1408</v>
      </c>
      <c r="C185" s="3">
        <v>8.6378737541528299</v>
      </c>
      <c r="D185" s="2">
        <v>20.477</v>
      </c>
      <c r="E185" s="2">
        <v>11.75841</v>
      </c>
      <c r="F185" s="4">
        <v>1.2929999999999999</v>
      </c>
      <c r="G185" s="4">
        <v>16.407193121926799</v>
      </c>
      <c r="H185" s="2" t="s">
        <v>1408</v>
      </c>
      <c r="I185" s="4" t="s">
        <v>1408</v>
      </c>
      <c r="J185" s="4">
        <v>12.7167941519181</v>
      </c>
      <c r="K185" s="4">
        <v>1.7341690000000001</v>
      </c>
      <c r="L185" s="4" t="s">
        <v>1408</v>
      </c>
      <c r="N185" s="5" t="s">
        <v>1408</v>
      </c>
      <c r="O185" s="5">
        <v>44579</v>
      </c>
      <c r="P185" s="6" t="e">
        <v>#VALUE!</v>
      </c>
      <c r="Q185" s="1"/>
      <c r="R185" s="7" t="e">
        <f ca="1">_xll.SNL.Clients.Office.Excel.Functions.SPG(A185, "SP_TOTAL_DEBT", "LTM")</f>
        <v>#NAME?</v>
      </c>
      <c r="S185" s="8" t="e">
        <f ca="1">_xll.SNL.Clients.Office.Excel.Functions.SPG(A185, "SP_DEBT_TO_EQUITY", "LTM")</f>
        <v>#NAME?</v>
      </c>
      <c r="U185" s="9" t="e">
        <f t="shared" ca="1" si="2"/>
        <v>#VALUE!</v>
      </c>
      <c r="Y185" s="1"/>
      <c r="Z185" s="1"/>
      <c r="AA185" s="10"/>
      <c r="AB185" s="1" t="s">
        <v>415</v>
      </c>
      <c r="AC185" s="1" t="s">
        <v>34</v>
      </c>
      <c r="AD185" s="10">
        <v>530.84312609999995</v>
      </c>
      <c r="AE185" s="1" t="s">
        <v>25</v>
      </c>
    </row>
    <row r="186" spans="1:31" x14ac:dyDescent="0.2">
      <c r="A186" s="1" t="s">
        <v>416</v>
      </c>
      <c r="B186" s="2">
        <v>17.795000000000002</v>
      </c>
      <c r="C186" s="3">
        <v>-25.072046109510101</v>
      </c>
      <c r="D186" s="2">
        <v>-13.63</v>
      </c>
      <c r="E186" s="2">
        <v>26.242308000000001</v>
      </c>
      <c r="F186" s="4" t="s">
        <v>1408</v>
      </c>
      <c r="G186" s="4" t="s">
        <v>1408</v>
      </c>
      <c r="H186" s="2" t="s">
        <v>1408</v>
      </c>
      <c r="I186" s="4" t="s">
        <v>1408</v>
      </c>
      <c r="J186" s="4" t="s">
        <v>1408</v>
      </c>
      <c r="K186" s="4">
        <v>9.1448870000000007</v>
      </c>
      <c r="L186" s="4">
        <v>19.958615999999999</v>
      </c>
      <c r="N186" s="5" t="s">
        <v>1408</v>
      </c>
      <c r="O186" s="5">
        <v>136609</v>
      </c>
      <c r="P186" s="6" t="e">
        <v>#VALUE!</v>
      </c>
      <c r="Q186" s="1"/>
      <c r="R186" s="7" t="e">
        <f ca="1">_xll.SNL.Clients.Office.Excel.Functions.SPG(A186, "SP_TOTAL_DEBT", "LTM")</f>
        <v>#NAME?</v>
      </c>
      <c r="S186" s="8" t="e">
        <f ca="1">_xll.SNL.Clients.Office.Excel.Functions.SPG(A186, "SP_DEBT_TO_EQUITY", "LTM")</f>
        <v>#NAME?</v>
      </c>
      <c r="U186" s="9" t="e">
        <f t="shared" ca="1" si="2"/>
        <v>#VALUE!</v>
      </c>
      <c r="Y186" s="1"/>
      <c r="Z186" s="1"/>
      <c r="AA186" s="10"/>
      <c r="AB186" s="1" t="s">
        <v>417</v>
      </c>
      <c r="AC186" s="1" t="s">
        <v>37</v>
      </c>
      <c r="AD186" s="10">
        <v>3460.3421837599999</v>
      </c>
      <c r="AE186" s="1" t="s">
        <v>25</v>
      </c>
    </row>
    <row r="187" spans="1:31" x14ac:dyDescent="0.2">
      <c r="A187" s="1" t="s">
        <v>418</v>
      </c>
      <c r="B187" s="2">
        <v>-17.277999999999999</v>
      </c>
      <c r="C187" s="3" t="s">
        <v>1408</v>
      </c>
      <c r="D187" s="2">
        <v>-59.814999999999998</v>
      </c>
      <c r="E187" s="2" t="s">
        <v>1409</v>
      </c>
      <c r="F187" s="4">
        <v>-0.76500000000000001</v>
      </c>
      <c r="G187" s="4" t="s">
        <v>1408</v>
      </c>
      <c r="H187" s="2">
        <v>1.048</v>
      </c>
      <c r="I187" s="4">
        <v>2.1999999999999999E-2</v>
      </c>
      <c r="J187" s="4" t="s">
        <v>1408</v>
      </c>
      <c r="K187" s="4">
        <v>4.8386310000000003</v>
      </c>
      <c r="L187" s="4" t="s">
        <v>1409</v>
      </c>
      <c r="N187" s="5">
        <v>505675.375</v>
      </c>
      <c r="O187" s="5">
        <v>-1277937</v>
      </c>
      <c r="P187" s="6">
        <v>-0.39569663841018765</v>
      </c>
      <c r="Q187" s="1"/>
      <c r="R187" s="7" t="e">
        <f ca="1">_xll.SNL.Clients.Office.Excel.Functions.SPG(A187, "SP_TOTAL_DEBT", "LTM")</f>
        <v>#NAME?</v>
      </c>
      <c r="S187" s="8" t="e">
        <f ca="1">_xll.SNL.Clients.Office.Excel.Functions.SPG(A187, "SP_DEBT_TO_EQUITY", "LTM")</f>
        <v>#NAME?</v>
      </c>
      <c r="U187" s="9" t="e">
        <f t="shared" ca="1" si="2"/>
        <v>#NAME?</v>
      </c>
      <c r="Y187" s="1"/>
      <c r="Z187" s="1"/>
      <c r="AA187" s="10"/>
      <c r="AB187" s="1" t="s">
        <v>419</v>
      </c>
      <c r="AC187" s="1" t="s">
        <v>156</v>
      </c>
      <c r="AD187" s="10">
        <v>30671.279638200002</v>
      </c>
      <c r="AE187" s="1" t="s">
        <v>25</v>
      </c>
    </row>
    <row r="188" spans="1:31" x14ac:dyDescent="0.2">
      <c r="A188" s="1" t="s">
        <v>420</v>
      </c>
      <c r="B188" s="2" t="s">
        <v>1408</v>
      </c>
      <c r="C188" s="3">
        <v>-31.579093030907799</v>
      </c>
      <c r="D188" s="2">
        <v>50.472999999999999</v>
      </c>
      <c r="E188" s="2">
        <v>10.438202</v>
      </c>
      <c r="F188" s="4">
        <v>0.83</v>
      </c>
      <c r="G188" s="4">
        <v>7.8069502823657198</v>
      </c>
      <c r="H188" s="2" t="s">
        <v>1408</v>
      </c>
      <c r="I188" s="4" t="s">
        <v>1408</v>
      </c>
      <c r="J188" s="4">
        <v>33.920753316615603</v>
      </c>
      <c r="K188" s="4">
        <v>0.77588000000000001</v>
      </c>
      <c r="L188" s="4" t="s">
        <v>1408</v>
      </c>
      <c r="N188" s="5" t="s">
        <v>1408</v>
      </c>
      <c r="O188" s="5">
        <v>348715</v>
      </c>
      <c r="P188" s="6" t="e">
        <v>#VALUE!</v>
      </c>
      <c r="Q188" s="1"/>
      <c r="R188" s="7" t="e">
        <f ca="1">_xll.SNL.Clients.Office.Excel.Functions.SPG(A188, "SP_TOTAL_DEBT", "LTM")</f>
        <v>#NAME?</v>
      </c>
      <c r="S188" s="8" t="e">
        <f ca="1">_xll.SNL.Clients.Office.Excel.Functions.SPG(A188, "SP_DEBT_TO_EQUITY", "LTM")</f>
        <v>#NAME?</v>
      </c>
      <c r="U188" s="9" t="e">
        <f t="shared" ca="1" si="2"/>
        <v>#VALUE!</v>
      </c>
      <c r="Y188" s="1"/>
      <c r="Z188" s="1"/>
      <c r="AA188" s="10"/>
      <c r="AB188" s="1" t="s">
        <v>421</v>
      </c>
      <c r="AC188" s="1" t="s">
        <v>34</v>
      </c>
      <c r="AD188" s="10">
        <v>4205.0735999999997</v>
      </c>
      <c r="AE188" s="1" t="s">
        <v>25</v>
      </c>
    </row>
    <row r="189" spans="1:31" x14ac:dyDescent="0.2">
      <c r="A189" s="1" t="s">
        <v>422</v>
      </c>
      <c r="B189" s="2" t="s">
        <v>1408</v>
      </c>
      <c r="C189" s="3">
        <v>-56.790123456790099</v>
      </c>
      <c r="D189" s="2">
        <v>-21.675000000000001</v>
      </c>
      <c r="E189" s="2">
        <v>48.771428999999998</v>
      </c>
      <c r="F189" s="4">
        <v>0.34300000000000003</v>
      </c>
      <c r="G189" s="4">
        <v>3.2862276408845101</v>
      </c>
      <c r="H189" s="2" t="s">
        <v>1408</v>
      </c>
      <c r="I189" s="4" t="s">
        <v>1408</v>
      </c>
      <c r="J189" s="4">
        <v>25.7063272625685</v>
      </c>
      <c r="K189" s="4">
        <v>1.72146</v>
      </c>
      <c r="L189" s="4" t="s">
        <v>1408</v>
      </c>
      <c r="N189" s="5" t="s">
        <v>1408</v>
      </c>
      <c r="O189" s="5">
        <v>36086</v>
      </c>
      <c r="P189" s="6" t="e">
        <v>#VALUE!</v>
      </c>
      <c r="Q189" s="1"/>
      <c r="R189" s="7" t="e">
        <f ca="1">_xll.SNL.Clients.Office.Excel.Functions.SPG(A189, "SP_TOTAL_DEBT", "LTM")</f>
        <v>#NAME?</v>
      </c>
      <c r="S189" s="8" t="e">
        <f ca="1">_xll.SNL.Clients.Office.Excel.Functions.SPG(A189, "SP_DEBT_TO_EQUITY", "LTM")</f>
        <v>#NAME?</v>
      </c>
      <c r="U189" s="9" t="e">
        <f t="shared" ca="1" si="2"/>
        <v>#VALUE!</v>
      </c>
      <c r="Y189" s="1"/>
      <c r="Z189" s="1"/>
      <c r="AA189" s="10"/>
      <c r="AB189" s="1" t="s">
        <v>423</v>
      </c>
      <c r="AC189" s="1" t="s">
        <v>34</v>
      </c>
      <c r="AD189" s="10">
        <v>1886.4419118999999</v>
      </c>
      <c r="AE189" s="1" t="s">
        <v>25</v>
      </c>
    </row>
    <row r="190" spans="1:31" x14ac:dyDescent="0.2">
      <c r="A190" s="1" t="s">
        <v>424</v>
      </c>
      <c r="B190" s="2" t="s">
        <v>1408</v>
      </c>
      <c r="C190" s="3">
        <v>-23.9669421487603</v>
      </c>
      <c r="D190" s="2">
        <v>0.83499999999999996</v>
      </c>
      <c r="E190" s="2">
        <v>7.6475160000000004</v>
      </c>
      <c r="F190" s="4">
        <v>1.0289999999999999</v>
      </c>
      <c r="G190" s="4">
        <v>15.746201966041101</v>
      </c>
      <c r="H190" s="2" t="s">
        <v>1408</v>
      </c>
      <c r="I190" s="4" t="s">
        <v>1408</v>
      </c>
      <c r="J190" s="4" t="s">
        <v>1408</v>
      </c>
      <c r="K190" s="4">
        <v>1.0804940000000001</v>
      </c>
      <c r="L190" s="4" t="s">
        <v>1408</v>
      </c>
      <c r="N190" s="5" t="s">
        <v>1408</v>
      </c>
      <c r="O190" s="5">
        <v>881000</v>
      </c>
      <c r="P190" s="6" t="e">
        <v>#VALUE!</v>
      </c>
      <c r="Q190" s="1"/>
      <c r="R190" s="7" t="e">
        <f ca="1">_xll.SNL.Clients.Office.Excel.Functions.SPG(A190, "SP_TOTAL_DEBT", "LTM")</f>
        <v>#NAME?</v>
      </c>
      <c r="S190" s="8" t="e">
        <f ca="1">_xll.SNL.Clients.Office.Excel.Functions.SPG(A190, "SP_DEBT_TO_EQUITY", "LTM")</f>
        <v>#NAME?</v>
      </c>
      <c r="U190" s="9" t="e">
        <f t="shared" ca="1" si="2"/>
        <v>#VALUE!</v>
      </c>
      <c r="Y190" s="1"/>
      <c r="Z190" s="1"/>
      <c r="AA190" s="10"/>
      <c r="AB190" s="1" t="s">
        <v>425</v>
      </c>
      <c r="AC190" s="1" t="s">
        <v>34</v>
      </c>
      <c r="AD190" s="10">
        <v>6935.2103004800001</v>
      </c>
      <c r="AE190" s="1" t="s">
        <v>25</v>
      </c>
    </row>
    <row r="191" spans="1:31" x14ac:dyDescent="0.2">
      <c r="A191" s="1" t="s">
        <v>426</v>
      </c>
      <c r="B191" s="2" t="s">
        <v>1408</v>
      </c>
      <c r="C191" s="3">
        <v>-0.727281752065289</v>
      </c>
      <c r="D191" s="2">
        <v>4.8520000000000003</v>
      </c>
      <c r="E191" s="2">
        <v>13.818681</v>
      </c>
      <c r="F191" s="4">
        <v>1.526</v>
      </c>
      <c r="G191" s="4">
        <v>18.2450680372677</v>
      </c>
      <c r="H191" s="2" t="s">
        <v>1408</v>
      </c>
      <c r="I191" s="4" t="s">
        <v>1408</v>
      </c>
      <c r="J191" s="4">
        <v>39.6216216216216</v>
      </c>
      <c r="K191" s="4">
        <v>2.2240890000000002</v>
      </c>
      <c r="L191" s="4" t="s">
        <v>1408</v>
      </c>
      <c r="N191" s="5" t="s">
        <v>1408</v>
      </c>
      <c r="O191" s="5">
        <v>485177</v>
      </c>
      <c r="P191" s="6" t="e">
        <v>#VALUE!</v>
      </c>
      <c r="Q191" s="1"/>
      <c r="R191" s="7" t="e">
        <f ca="1">_xll.SNL.Clients.Office.Excel.Functions.SPG(A191, "SP_TOTAL_DEBT", "LTM")</f>
        <v>#NAME?</v>
      </c>
      <c r="S191" s="8" t="e">
        <f ca="1">_xll.SNL.Clients.Office.Excel.Functions.SPG(A191, "SP_DEBT_TO_EQUITY", "LTM")</f>
        <v>#NAME?</v>
      </c>
      <c r="U191" s="9" t="e">
        <f t="shared" ca="1" si="2"/>
        <v>#VALUE!</v>
      </c>
      <c r="Y191" s="1"/>
      <c r="Z191" s="1"/>
      <c r="AA191" s="10"/>
      <c r="AB191" s="1" t="s">
        <v>427</v>
      </c>
      <c r="AC191" s="1" t="s">
        <v>34</v>
      </c>
      <c r="AD191" s="10">
        <v>6784.7756217599999</v>
      </c>
      <c r="AE191" s="1" t="s">
        <v>25</v>
      </c>
    </row>
    <row r="192" spans="1:31" x14ac:dyDescent="0.2">
      <c r="A192" s="1" t="s">
        <v>428</v>
      </c>
      <c r="B192" s="2" t="s">
        <v>1408</v>
      </c>
      <c r="C192" s="3">
        <v>-26.878612716763001</v>
      </c>
      <c r="D192" s="2">
        <v>-3.5979999999999999</v>
      </c>
      <c r="E192" s="2">
        <v>17.426877000000001</v>
      </c>
      <c r="F192" s="4">
        <v>0.87</v>
      </c>
      <c r="G192" s="4">
        <v>8.5544319174699694</v>
      </c>
      <c r="H192" s="2" t="s">
        <v>1408</v>
      </c>
      <c r="I192" s="4" t="s">
        <v>1408</v>
      </c>
      <c r="J192" s="4">
        <v>32.966987716062299</v>
      </c>
      <c r="K192" s="4">
        <v>1.381006</v>
      </c>
      <c r="L192" s="4" t="s">
        <v>1408</v>
      </c>
      <c r="N192" s="5" t="s">
        <v>1408</v>
      </c>
      <c r="O192" s="5">
        <v>136506</v>
      </c>
      <c r="P192" s="6" t="e">
        <v>#VALUE!</v>
      </c>
      <c r="Q192" s="1"/>
      <c r="R192" s="7" t="e">
        <f ca="1">_xll.SNL.Clients.Office.Excel.Functions.SPG(A192, "SP_TOTAL_DEBT", "LTM")</f>
        <v>#NAME?</v>
      </c>
      <c r="S192" s="8" t="e">
        <f ca="1">_xll.SNL.Clients.Office.Excel.Functions.SPG(A192, "SP_DEBT_TO_EQUITY", "LTM")</f>
        <v>#NAME?</v>
      </c>
      <c r="U192" s="9" t="e">
        <f t="shared" ca="1" si="2"/>
        <v>#VALUE!</v>
      </c>
      <c r="Y192" s="1"/>
      <c r="Z192" s="1"/>
      <c r="AA192" s="10"/>
      <c r="AB192" s="1" t="s">
        <v>429</v>
      </c>
      <c r="AC192" s="1" t="s">
        <v>34</v>
      </c>
      <c r="AD192" s="10">
        <v>2440.7767899999999</v>
      </c>
      <c r="AE192" s="1" t="s">
        <v>25</v>
      </c>
    </row>
    <row r="193" spans="1:31" x14ac:dyDescent="0.2">
      <c r="A193" s="1" t="s">
        <v>430</v>
      </c>
      <c r="B193" s="2" t="s">
        <v>1408</v>
      </c>
      <c r="C193" s="3">
        <v>-4.8034934497816497</v>
      </c>
      <c r="D193" s="2">
        <v>2.1429999999999998</v>
      </c>
      <c r="E193" s="2">
        <v>9.1559629999999999</v>
      </c>
      <c r="F193" s="4">
        <v>1.399</v>
      </c>
      <c r="G193" s="4">
        <v>11.753537934858601</v>
      </c>
      <c r="H193" s="2" t="s">
        <v>1408</v>
      </c>
      <c r="I193" s="4" t="s">
        <v>1408</v>
      </c>
      <c r="J193" s="4">
        <v>42.4645193299474</v>
      </c>
      <c r="K193" s="4">
        <v>1.0186269999999999</v>
      </c>
      <c r="L193" s="4" t="s">
        <v>1408</v>
      </c>
      <c r="N193" s="5" t="s">
        <v>1408</v>
      </c>
      <c r="O193" s="5">
        <v>78004</v>
      </c>
      <c r="P193" s="6" t="e">
        <v>#VALUE!</v>
      </c>
      <c r="Q193" s="1"/>
      <c r="R193" s="7" t="e">
        <f ca="1">_xll.SNL.Clients.Office.Excel.Functions.SPG(A193, "SP_TOTAL_DEBT", "LTM")</f>
        <v>#NAME?</v>
      </c>
      <c r="S193" s="8" t="e">
        <f ca="1">_xll.SNL.Clients.Office.Excel.Functions.SPG(A193, "SP_DEBT_TO_EQUITY", "LTM")</f>
        <v>#NAME?</v>
      </c>
      <c r="U193" s="9" t="e">
        <f t="shared" ca="1" si="2"/>
        <v>#VALUE!</v>
      </c>
      <c r="Y193" s="1"/>
      <c r="Z193" s="1"/>
      <c r="AA193" s="10"/>
      <c r="AB193" s="1" t="s">
        <v>431</v>
      </c>
      <c r="AC193" s="1" t="s">
        <v>34</v>
      </c>
      <c r="AD193" s="10">
        <v>746.99336000000005</v>
      </c>
      <c r="AE193" s="1" t="s">
        <v>25</v>
      </c>
    </row>
    <row r="194" spans="1:31" x14ac:dyDescent="0.2">
      <c r="A194" s="1" t="s">
        <v>432</v>
      </c>
      <c r="B194" s="2">
        <v>4.1989999999999998</v>
      </c>
      <c r="C194" s="3" t="s">
        <v>1408</v>
      </c>
      <c r="D194" s="2">
        <v>17.177</v>
      </c>
      <c r="E194" s="2">
        <v>53.325122999999998</v>
      </c>
      <c r="F194" s="4">
        <v>3.5259999999999998</v>
      </c>
      <c r="G194" s="4" t="s">
        <v>1408</v>
      </c>
      <c r="H194" s="2">
        <v>3.7130000000000001</v>
      </c>
      <c r="I194" s="4">
        <v>0.60099999999999998</v>
      </c>
      <c r="J194" s="4" t="s">
        <v>1408</v>
      </c>
      <c r="K194" s="4">
        <v>1.860765</v>
      </c>
      <c r="L194" s="4">
        <v>9.6085469999999997</v>
      </c>
      <c r="N194" s="5">
        <v>96191.125</v>
      </c>
      <c r="O194" s="5">
        <v>114577</v>
      </c>
      <c r="P194" s="6">
        <v>0.83953258507379314</v>
      </c>
      <c r="Q194" s="1"/>
      <c r="R194" s="7" t="e">
        <f ca="1">_xll.SNL.Clients.Office.Excel.Functions.SPG(A194, "SP_TOTAL_DEBT", "LTM")</f>
        <v>#NAME?</v>
      </c>
      <c r="S194" s="8" t="e">
        <f ca="1">_xll.SNL.Clients.Office.Excel.Functions.SPG(A194, "SP_DEBT_TO_EQUITY", "LTM")</f>
        <v>#NAME?</v>
      </c>
      <c r="U194" s="9" t="e">
        <f t="shared" ca="1" si="2"/>
        <v>#NAME?</v>
      </c>
      <c r="Y194" s="1"/>
      <c r="Z194" s="1"/>
      <c r="AA194" s="10"/>
      <c r="AB194" s="1" t="s">
        <v>433</v>
      </c>
      <c r="AC194" s="1" t="s">
        <v>123</v>
      </c>
      <c r="AD194" s="10">
        <v>1666.0350676099999</v>
      </c>
      <c r="AE194" s="1" t="s">
        <v>25</v>
      </c>
    </row>
    <row r="195" spans="1:31" x14ac:dyDescent="0.2">
      <c r="A195" s="1" t="s">
        <v>434</v>
      </c>
      <c r="B195" s="2">
        <v>-6.1710000000000003</v>
      </c>
      <c r="C195" s="3" t="s">
        <v>1409</v>
      </c>
      <c r="D195" s="2">
        <v>124.751</v>
      </c>
      <c r="E195" s="2">
        <v>33.538836000000003</v>
      </c>
      <c r="F195" s="4">
        <v>1.3180000000000001</v>
      </c>
      <c r="G195" s="4">
        <v>-4.7500541008439701</v>
      </c>
      <c r="H195" s="2">
        <v>0.65700000000000003</v>
      </c>
      <c r="I195" s="4">
        <v>0.40799999999999997</v>
      </c>
      <c r="J195" s="4" t="s">
        <v>1408</v>
      </c>
      <c r="K195" s="4">
        <v>1.031603</v>
      </c>
      <c r="L195" s="4">
        <v>26.963014000000001</v>
      </c>
      <c r="N195" s="5">
        <v>339525</v>
      </c>
      <c r="O195" s="5">
        <v>50300</v>
      </c>
      <c r="P195" s="6">
        <v>6.75</v>
      </c>
      <c r="Q195" s="1"/>
      <c r="R195" s="7" t="e">
        <f ca="1">_xll.SNL.Clients.Office.Excel.Functions.SPG(A195, "SP_TOTAL_DEBT", "LTM")</f>
        <v>#NAME?</v>
      </c>
      <c r="S195" s="8" t="e">
        <f ca="1">_xll.SNL.Clients.Office.Excel.Functions.SPG(A195, "SP_DEBT_TO_EQUITY", "LTM")</f>
        <v>#NAME?</v>
      </c>
      <c r="U195" s="9" t="e">
        <f t="shared" ref="U195:U258" ca="1" si="3">N195/R195</f>
        <v>#NAME?</v>
      </c>
      <c r="Y195" s="1"/>
      <c r="Z195" s="1"/>
      <c r="AA195" s="10"/>
      <c r="AB195" s="1" t="s">
        <v>435</v>
      </c>
      <c r="AC195" s="1" t="s">
        <v>324</v>
      </c>
      <c r="AD195" s="10">
        <v>937.90538607860299</v>
      </c>
      <c r="AE195" s="1" t="s">
        <v>25</v>
      </c>
    </row>
    <row r="196" spans="1:31" x14ac:dyDescent="0.2">
      <c r="A196" s="1" t="s">
        <v>436</v>
      </c>
      <c r="B196" s="2" t="s">
        <v>1408</v>
      </c>
      <c r="C196" s="3">
        <v>-31.229235880398701</v>
      </c>
      <c r="D196" s="2">
        <v>-12.333</v>
      </c>
      <c r="E196" s="2">
        <v>10.144928</v>
      </c>
      <c r="F196" s="4">
        <v>0.89200000000000002</v>
      </c>
      <c r="G196" s="4">
        <v>7.2664572273074102</v>
      </c>
      <c r="H196" s="2" t="s">
        <v>1408</v>
      </c>
      <c r="I196" s="4" t="s">
        <v>1408</v>
      </c>
      <c r="J196" s="4">
        <v>44.266112976554801</v>
      </c>
      <c r="K196" s="4">
        <v>0.72926800000000003</v>
      </c>
      <c r="L196" s="4" t="s">
        <v>1408</v>
      </c>
      <c r="N196" s="5" t="s">
        <v>1408</v>
      </c>
      <c r="O196" s="5">
        <v>87003</v>
      </c>
      <c r="P196" s="6" t="e">
        <v>#VALUE!</v>
      </c>
      <c r="Q196" s="1"/>
      <c r="R196" s="7" t="e">
        <f ca="1">_xll.SNL.Clients.Office.Excel.Functions.SPG(A196, "SP_TOTAL_DEBT", "LTM")</f>
        <v>#NAME?</v>
      </c>
      <c r="S196" s="8" t="e">
        <f ca="1">_xll.SNL.Clients.Office.Excel.Functions.SPG(A196, "SP_DEBT_TO_EQUITY", "LTM")</f>
        <v>#NAME?</v>
      </c>
      <c r="U196" s="9" t="e">
        <f t="shared" ca="1" si="3"/>
        <v>#VALUE!</v>
      </c>
      <c r="Y196" s="1"/>
      <c r="Z196" s="1"/>
      <c r="AA196" s="10"/>
      <c r="AB196" s="1" t="s">
        <v>437</v>
      </c>
      <c r="AC196" s="1" t="s">
        <v>34</v>
      </c>
      <c r="AD196" s="10">
        <v>876.98403115999997</v>
      </c>
      <c r="AE196" s="1" t="s">
        <v>25</v>
      </c>
    </row>
    <row r="197" spans="1:31" x14ac:dyDescent="0.2">
      <c r="A197" s="1" t="s">
        <v>438</v>
      </c>
      <c r="B197" s="2">
        <v>19.870999999999999</v>
      </c>
      <c r="C197" s="3" t="s">
        <v>1408</v>
      </c>
      <c r="D197" s="2">
        <v>13.955</v>
      </c>
      <c r="E197" s="2">
        <v>6.8971629999999999</v>
      </c>
      <c r="F197" s="4">
        <v>0.73399999999999999</v>
      </c>
      <c r="G197" s="4">
        <v>52.873133164967399</v>
      </c>
      <c r="H197" s="2">
        <v>1.3839999999999999</v>
      </c>
      <c r="I197" s="4">
        <v>6.4000000000000001E-2</v>
      </c>
      <c r="J197" s="4" t="s">
        <v>1408</v>
      </c>
      <c r="K197" s="4">
        <v>1.7673779999999999</v>
      </c>
      <c r="L197" s="4">
        <v>5.3147070000000003</v>
      </c>
      <c r="N197" s="5">
        <v>5232500</v>
      </c>
      <c r="O197" s="5">
        <v>2199000</v>
      </c>
      <c r="P197" s="6">
        <v>2.3794906775807183</v>
      </c>
      <c r="Q197" s="1"/>
      <c r="R197" s="7" t="e">
        <f ca="1">_xll.SNL.Clients.Office.Excel.Functions.SPG(A197, "SP_TOTAL_DEBT", "LTM")</f>
        <v>#NAME?</v>
      </c>
      <c r="S197" s="8" t="e">
        <f ca="1">_xll.SNL.Clients.Office.Excel.Functions.SPG(A197, "SP_DEBT_TO_EQUITY", "LTM")</f>
        <v>#NAME?</v>
      </c>
      <c r="U197" s="9" t="e">
        <f t="shared" ca="1" si="3"/>
        <v>#NAME?</v>
      </c>
      <c r="Y197" s="1"/>
      <c r="Z197" s="1"/>
      <c r="AA197" s="10"/>
      <c r="AB197" s="1" t="s">
        <v>439</v>
      </c>
      <c r="AC197" s="1" t="s">
        <v>60</v>
      </c>
      <c r="AD197" s="10">
        <v>15217.331283609999</v>
      </c>
      <c r="AE197" s="1" t="s">
        <v>25</v>
      </c>
    </row>
    <row r="198" spans="1:31" x14ac:dyDescent="0.2">
      <c r="A198" s="1" t="s">
        <v>440</v>
      </c>
      <c r="B198" s="2" t="s">
        <v>1408</v>
      </c>
      <c r="C198" s="3" t="s">
        <v>1408</v>
      </c>
      <c r="D198" s="2">
        <v>11.769</v>
      </c>
      <c r="E198" s="2">
        <v>6.9311449999999999</v>
      </c>
      <c r="F198" s="4">
        <v>0.97699999999999998</v>
      </c>
      <c r="G198" s="4">
        <v>13.149485978874001</v>
      </c>
      <c r="H198" s="2" t="s">
        <v>1408</v>
      </c>
      <c r="I198" s="4" t="s">
        <v>1408</v>
      </c>
      <c r="J198" s="4">
        <v>24.155079928225501</v>
      </c>
      <c r="K198" s="4">
        <v>0.95579499999999995</v>
      </c>
      <c r="L198" s="4" t="s">
        <v>1408</v>
      </c>
      <c r="N198" s="5" t="s">
        <v>1408</v>
      </c>
      <c r="O198" s="5">
        <v>1185511</v>
      </c>
      <c r="P198" s="6" t="e">
        <v>#VALUE!</v>
      </c>
      <c r="Q198" s="1"/>
      <c r="R198" s="7" t="e">
        <f ca="1">_xll.SNL.Clients.Office.Excel.Functions.SPG(A198, "SP_TOTAL_DEBT", "LTM")</f>
        <v>#NAME?</v>
      </c>
      <c r="S198" s="8" t="e">
        <f ca="1">_xll.SNL.Clients.Office.Excel.Functions.SPG(A198, "SP_DEBT_TO_EQUITY", "LTM")</f>
        <v>#NAME?</v>
      </c>
      <c r="U198" s="9" t="e">
        <f t="shared" ca="1" si="3"/>
        <v>#VALUE!</v>
      </c>
      <c r="Y198" s="1"/>
      <c r="Z198" s="1"/>
      <c r="AA198" s="10"/>
      <c r="AB198" s="1" t="s">
        <v>441</v>
      </c>
      <c r="AC198" s="1" t="s">
        <v>174</v>
      </c>
      <c r="AD198" s="10">
        <v>466.63637316928202</v>
      </c>
      <c r="AE198" s="1" t="s">
        <v>42</v>
      </c>
    </row>
    <row r="199" spans="1:31" x14ac:dyDescent="0.2">
      <c r="A199" s="1" t="s">
        <v>442</v>
      </c>
      <c r="B199" s="2" t="s">
        <v>1408</v>
      </c>
      <c r="C199" s="3">
        <v>18.862211496142301</v>
      </c>
      <c r="D199" s="2">
        <v>8.3849999999999998</v>
      </c>
      <c r="E199" s="2">
        <v>8.0593610000000009</v>
      </c>
      <c r="F199" s="4">
        <v>2.359</v>
      </c>
      <c r="G199" s="4">
        <v>16.2942689183479</v>
      </c>
      <c r="H199" s="2" t="s">
        <v>1408</v>
      </c>
      <c r="I199" s="4" t="s">
        <v>1408</v>
      </c>
      <c r="J199" s="4" t="s">
        <v>1408</v>
      </c>
      <c r="K199" s="4">
        <v>0.50573400000000002</v>
      </c>
      <c r="L199" s="4" t="s">
        <v>1408</v>
      </c>
      <c r="N199" s="5" t="s">
        <v>1408</v>
      </c>
      <c r="O199" s="5">
        <v>1249657</v>
      </c>
      <c r="P199" s="6" t="e">
        <v>#VALUE!</v>
      </c>
      <c r="Q199" s="1"/>
      <c r="R199" s="7" t="e">
        <f ca="1">_xll.SNL.Clients.Office.Excel.Functions.SPG(A199, "SP_TOTAL_DEBT", "LTM")</f>
        <v>#NAME?</v>
      </c>
      <c r="S199" s="8" t="e">
        <f ca="1">_xll.SNL.Clients.Office.Excel.Functions.SPG(A199, "SP_DEBT_TO_EQUITY", "LTM")</f>
        <v>#NAME?</v>
      </c>
      <c r="U199" s="9" t="e">
        <f t="shared" ca="1" si="3"/>
        <v>#VALUE!</v>
      </c>
      <c r="Y199" s="1"/>
      <c r="Z199" s="1"/>
      <c r="AA199" s="10"/>
      <c r="AB199" s="1" t="s">
        <v>443</v>
      </c>
      <c r="AC199" s="1" t="s">
        <v>123</v>
      </c>
      <c r="AD199" s="10">
        <v>1523.0301724005899</v>
      </c>
      <c r="AE199" s="1" t="s">
        <v>42</v>
      </c>
    </row>
    <row r="200" spans="1:31" x14ac:dyDescent="0.2">
      <c r="A200" s="1" t="s">
        <v>444</v>
      </c>
      <c r="B200" s="2" t="s">
        <v>1408</v>
      </c>
      <c r="C200" s="3" t="s">
        <v>1408</v>
      </c>
      <c r="D200" s="2">
        <v>5.5609999999999999</v>
      </c>
      <c r="E200" s="2">
        <v>53.230769000000002</v>
      </c>
      <c r="F200" s="4">
        <v>1.0589999999999999</v>
      </c>
      <c r="G200" s="4">
        <v>-10.289902775265499</v>
      </c>
      <c r="H200" s="2">
        <v>1.226</v>
      </c>
      <c r="I200" s="4">
        <v>8.7999999999999995E-2</v>
      </c>
      <c r="J200" s="4">
        <v>20.006556232342199</v>
      </c>
      <c r="K200" s="4">
        <v>3.6004160000000001</v>
      </c>
      <c r="L200" s="4" t="s">
        <v>1408</v>
      </c>
      <c r="N200" s="5" t="s">
        <v>1408</v>
      </c>
      <c r="O200" s="5">
        <v>427039.47399999999</v>
      </c>
      <c r="P200" s="6" t="e">
        <v>#VALUE!</v>
      </c>
      <c r="Q200" s="1"/>
      <c r="R200" s="7" t="e">
        <f ca="1">_xll.SNL.Clients.Office.Excel.Functions.SPG(A200, "SP_TOTAL_DEBT", "LTM")</f>
        <v>#NAME?</v>
      </c>
      <c r="S200" s="8" t="e">
        <f ca="1">_xll.SNL.Clients.Office.Excel.Functions.SPG(A200, "SP_DEBT_TO_EQUITY", "LTM")</f>
        <v>#NAME?</v>
      </c>
      <c r="U200" s="9" t="e">
        <f t="shared" ca="1" si="3"/>
        <v>#VALUE!</v>
      </c>
      <c r="Y200" s="1"/>
      <c r="Z200" s="1"/>
      <c r="AA200" s="10"/>
      <c r="AB200" s="1" t="s">
        <v>445</v>
      </c>
      <c r="AC200" s="1" t="s">
        <v>37</v>
      </c>
      <c r="AD200" s="10">
        <v>1323.37632679693</v>
      </c>
      <c r="AE200" s="1" t="s">
        <v>42</v>
      </c>
    </row>
    <row r="201" spans="1:31" x14ac:dyDescent="0.2">
      <c r="A201" s="1" t="s">
        <v>446</v>
      </c>
      <c r="B201" s="2">
        <v>21.504999999999999</v>
      </c>
      <c r="C201" s="3">
        <v>3.0054644808743101</v>
      </c>
      <c r="D201" s="2">
        <v>11.193</v>
      </c>
      <c r="E201" s="2">
        <v>53.924843000000003</v>
      </c>
      <c r="F201" s="4">
        <v>13.941000000000001</v>
      </c>
      <c r="G201" s="4">
        <v>32.953821077857803</v>
      </c>
      <c r="H201" s="2">
        <v>1.5629999999999999</v>
      </c>
      <c r="I201" s="4">
        <v>1.8140000000000001</v>
      </c>
      <c r="J201" s="4" t="s">
        <v>1408</v>
      </c>
      <c r="K201" s="4">
        <v>17.022040000000001</v>
      </c>
      <c r="L201" s="4">
        <v>29.502652000000001</v>
      </c>
      <c r="N201" s="5">
        <v>58780.625</v>
      </c>
      <c r="O201" s="5">
        <v>74967</v>
      </c>
      <c r="P201" s="6">
        <v>0.78408666479917832</v>
      </c>
      <c r="Q201" s="1"/>
      <c r="R201" s="7" t="e">
        <f ca="1">_xll.SNL.Clients.Office.Excel.Functions.SPG(A201, "SP_TOTAL_DEBT", "LTM")</f>
        <v>#NAME?</v>
      </c>
      <c r="S201" s="8" t="e">
        <f ca="1">_xll.SNL.Clients.Office.Excel.Functions.SPG(A201, "SP_DEBT_TO_EQUITY", "LTM")</f>
        <v>#NAME?</v>
      </c>
      <c r="U201" s="9" t="e">
        <f t="shared" ca="1" si="3"/>
        <v>#NAME?</v>
      </c>
      <c r="Y201" s="1"/>
      <c r="Z201" s="1"/>
      <c r="AA201" s="10"/>
      <c r="AB201" s="1" t="s">
        <v>447</v>
      </c>
      <c r="AC201" s="1" t="s">
        <v>448</v>
      </c>
      <c r="AD201" s="10">
        <v>4025.6923863799998</v>
      </c>
      <c r="AE201" s="1" t="s">
        <v>25</v>
      </c>
    </row>
    <row r="202" spans="1:31" x14ac:dyDescent="0.2">
      <c r="A202" s="1" t="s">
        <v>449</v>
      </c>
      <c r="B202" s="2">
        <v>3.81</v>
      </c>
      <c r="C202" s="3">
        <v>25.675675675675699</v>
      </c>
      <c r="D202" s="2">
        <v>12.256</v>
      </c>
      <c r="E202" s="2">
        <v>84.898785000000004</v>
      </c>
      <c r="F202" s="4">
        <v>2.504</v>
      </c>
      <c r="G202" s="4">
        <v>5.9880241704645103</v>
      </c>
      <c r="H202" s="2">
        <v>13.311999999999999</v>
      </c>
      <c r="I202" s="4">
        <v>0.28100000000000003</v>
      </c>
      <c r="J202" s="4" t="s">
        <v>1408</v>
      </c>
      <c r="K202" s="4">
        <v>4.7472979999999998</v>
      </c>
      <c r="L202" s="4">
        <v>62.848362000000002</v>
      </c>
      <c r="N202" s="5">
        <v>444507</v>
      </c>
      <c r="O202" s="5">
        <v>402597</v>
      </c>
      <c r="P202" s="6">
        <v>1.1040991363572008</v>
      </c>
      <c r="Q202" s="1"/>
      <c r="R202" s="7" t="e">
        <f ca="1">_xll.SNL.Clients.Office.Excel.Functions.SPG(A202, "SP_TOTAL_DEBT", "LTM")</f>
        <v>#NAME?</v>
      </c>
      <c r="S202" s="8" t="e">
        <f ca="1">_xll.SNL.Clients.Office.Excel.Functions.SPG(A202, "SP_DEBT_TO_EQUITY", "LTM")</f>
        <v>#NAME?</v>
      </c>
      <c r="U202" s="9" t="e">
        <f t="shared" ca="1" si="3"/>
        <v>#NAME?</v>
      </c>
      <c r="Y202" s="1"/>
      <c r="Z202" s="1"/>
      <c r="AA202" s="10"/>
      <c r="AB202" s="1" t="s">
        <v>450</v>
      </c>
      <c r="AC202" s="1" t="s">
        <v>156</v>
      </c>
      <c r="AD202" s="10">
        <v>34090.173960640001</v>
      </c>
      <c r="AE202" s="1" t="s">
        <v>25</v>
      </c>
    </row>
    <row r="203" spans="1:31" x14ac:dyDescent="0.2">
      <c r="A203" s="1" t="s">
        <v>451</v>
      </c>
      <c r="B203" s="2">
        <v>7.024</v>
      </c>
      <c r="C203" s="3" t="s">
        <v>1409</v>
      </c>
      <c r="D203" s="2">
        <v>7.9349999999999996</v>
      </c>
      <c r="E203" s="2">
        <v>33.522727000000003</v>
      </c>
      <c r="F203" s="4">
        <v>6.4989999999999997</v>
      </c>
      <c r="G203" s="4">
        <v>-10.459648555921399</v>
      </c>
      <c r="H203" s="2">
        <v>1.3069999999999999</v>
      </c>
      <c r="I203" s="4">
        <v>1.5549999999999999</v>
      </c>
      <c r="J203" s="4" t="s">
        <v>1408</v>
      </c>
      <c r="K203" s="4" t="s">
        <v>1408</v>
      </c>
      <c r="L203" s="4">
        <v>5.8910260000000001</v>
      </c>
      <c r="N203" s="5">
        <v>86312.125</v>
      </c>
      <c r="O203" s="5">
        <v>16976</v>
      </c>
      <c r="P203" s="6">
        <v>5.0843617459943449</v>
      </c>
      <c r="Q203" s="1"/>
      <c r="R203" s="7" t="e">
        <f ca="1">_xll.SNL.Clients.Office.Excel.Functions.SPG(A203, "SP_TOTAL_DEBT", "LTM")</f>
        <v>#NAME?</v>
      </c>
      <c r="S203" s="8" t="e">
        <f ca="1">_xll.SNL.Clients.Office.Excel.Functions.SPG(A203, "SP_DEBT_TO_EQUITY", "LTM")</f>
        <v>#NAME?</v>
      </c>
      <c r="U203" s="9" t="e">
        <f t="shared" ca="1" si="3"/>
        <v>#NAME?</v>
      </c>
      <c r="Y203" s="1"/>
      <c r="Z203" s="1"/>
      <c r="AA203" s="10"/>
      <c r="AB203" s="1" t="s">
        <v>452</v>
      </c>
      <c r="AC203" s="1" t="s">
        <v>448</v>
      </c>
      <c r="AD203" s="10">
        <v>586.38048144000004</v>
      </c>
      <c r="AE203" s="1" t="s">
        <v>25</v>
      </c>
    </row>
    <row r="204" spans="1:31" x14ac:dyDescent="0.2">
      <c r="A204" s="1" t="s">
        <v>453</v>
      </c>
      <c r="B204" s="2" t="s">
        <v>1408</v>
      </c>
      <c r="C204" s="3">
        <v>29.633253128263402</v>
      </c>
      <c r="D204" s="2">
        <v>18.379000000000001</v>
      </c>
      <c r="E204" s="2">
        <v>9.2163520000000005</v>
      </c>
      <c r="F204" s="4">
        <v>2.1259999999999999</v>
      </c>
      <c r="G204" s="4">
        <v>17.304036870791901</v>
      </c>
      <c r="H204" s="2" t="s">
        <v>1408</v>
      </c>
      <c r="I204" s="4" t="s">
        <v>1408</v>
      </c>
      <c r="J204" s="4">
        <v>36.723673231168398</v>
      </c>
      <c r="K204" s="4">
        <v>1.4770939999999999</v>
      </c>
      <c r="L204" s="4" t="s">
        <v>1408</v>
      </c>
      <c r="N204" s="5" t="s">
        <v>1408</v>
      </c>
      <c r="O204" s="5">
        <v>5186447</v>
      </c>
      <c r="P204" s="6" t="e">
        <v>#VALUE!</v>
      </c>
      <c r="Q204" s="1"/>
      <c r="R204" s="7" t="e">
        <f ca="1">_xll.SNL.Clients.Office.Excel.Functions.SPG(A204, "SP_TOTAL_DEBT", "LTM")</f>
        <v>#NAME?</v>
      </c>
      <c r="S204" s="8" t="e">
        <f ca="1">_xll.SNL.Clients.Office.Excel.Functions.SPG(A204, "SP_DEBT_TO_EQUITY", "LTM")</f>
        <v>#NAME?</v>
      </c>
      <c r="U204" s="9" t="e">
        <f t="shared" ca="1" si="3"/>
        <v>#VALUE!</v>
      </c>
      <c r="Y204" s="1"/>
      <c r="Z204" s="1"/>
      <c r="AA204" s="10"/>
      <c r="AB204" s="1" t="s">
        <v>454</v>
      </c>
      <c r="AC204" s="1" t="s">
        <v>34</v>
      </c>
      <c r="AD204" s="10">
        <v>11805.38005</v>
      </c>
      <c r="AE204" s="1" t="s">
        <v>42</v>
      </c>
    </row>
    <row r="205" spans="1:31" x14ac:dyDescent="0.2">
      <c r="A205" s="1" t="s">
        <v>455</v>
      </c>
      <c r="B205" s="2" t="s">
        <v>1408</v>
      </c>
      <c r="C205" s="3">
        <v>-44.074262461851497</v>
      </c>
      <c r="D205" s="2">
        <v>-24.08</v>
      </c>
      <c r="E205" s="2">
        <v>25.216462</v>
      </c>
      <c r="F205" s="4">
        <v>3.9420000000000002</v>
      </c>
      <c r="G205" s="4">
        <v>16.605722909048701</v>
      </c>
      <c r="H205" s="2">
        <v>18.585999999999999</v>
      </c>
      <c r="I205" s="4">
        <v>0.124</v>
      </c>
      <c r="J205" s="4">
        <v>22.587746117157899</v>
      </c>
      <c r="K205" s="4" t="s">
        <v>1408</v>
      </c>
      <c r="L205" s="4" t="s">
        <v>1408</v>
      </c>
      <c r="N205" s="5" t="s">
        <v>1408</v>
      </c>
      <c r="O205" s="5">
        <v>286100</v>
      </c>
      <c r="P205" s="6" t="e">
        <v>#VALUE!</v>
      </c>
      <c r="Q205" s="1"/>
      <c r="R205" s="7" t="e">
        <f ca="1">_xll.SNL.Clients.Office.Excel.Functions.SPG(A205, "SP_TOTAL_DEBT", "LTM")</f>
        <v>#NAME?</v>
      </c>
      <c r="S205" s="8" t="e">
        <f ca="1">_xll.SNL.Clients.Office.Excel.Functions.SPG(A205, "SP_DEBT_TO_EQUITY", "LTM")</f>
        <v>#NAME?</v>
      </c>
      <c r="U205" s="9" t="e">
        <f t="shared" ca="1" si="3"/>
        <v>#VALUE!</v>
      </c>
      <c r="Y205" s="1"/>
      <c r="Z205" s="1"/>
      <c r="AA205" s="10"/>
      <c r="AB205" s="1" t="s">
        <v>456</v>
      </c>
      <c r="AC205" s="1" t="s">
        <v>161</v>
      </c>
      <c r="AD205" s="10">
        <v>6775.4933447900003</v>
      </c>
      <c r="AE205" s="1" t="s">
        <v>25</v>
      </c>
    </row>
    <row r="206" spans="1:31" x14ac:dyDescent="0.2">
      <c r="A206" s="1" t="s">
        <v>457</v>
      </c>
      <c r="B206" s="2" t="s">
        <v>1408</v>
      </c>
      <c r="C206" s="3">
        <v>8.9430894308943198</v>
      </c>
      <c r="D206" s="2">
        <v>15.906000000000001</v>
      </c>
      <c r="E206" s="2">
        <v>9.9104480000000006</v>
      </c>
      <c r="F206" s="4">
        <v>0.95399999999999996</v>
      </c>
      <c r="G206" s="4">
        <v>10.3278406635199</v>
      </c>
      <c r="H206" s="2" t="s">
        <v>1408</v>
      </c>
      <c r="I206" s="4" t="s">
        <v>1408</v>
      </c>
      <c r="J206" s="4" t="s">
        <v>1408</v>
      </c>
      <c r="K206" s="4">
        <v>0.92517799999999994</v>
      </c>
      <c r="L206" s="4" t="s">
        <v>1408</v>
      </c>
      <c r="N206" s="5" t="s">
        <v>1408</v>
      </c>
      <c r="O206" s="5">
        <v>66669</v>
      </c>
      <c r="P206" s="6" t="e">
        <v>#VALUE!</v>
      </c>
      <c r="Q206" s="1"/>
      <c r="R206" s="7" t="e">
        <f ca="1">_xll.SNL.Clients.Office.Excel.Functions.SPG(A206, "SP_TOTAL_DEBT", "LTM")</f>
        <v>#NAME?</v>
      </c>
      <c r="S206" s="8" t="e">
        <f ca="1">_xll.SNL.Clients.Office.Excel.Functions.SPG(A206, "SP_DEBT_TO_EQUITY", "LTM")</f>
        <v>#NAME?</v>
      </c>
      <c r="U206" s="9" t="e">
        <f t="shared" ca="1" si="3"/>
        <v>#VALUE!</v>
      </c>
      <c r="Y206" s="1"/>
      <c r="Z206" s="1"/>
      <c r="AA206" s="10"/>
      <c r="AB206" s="1" t="s">
        <v>458</v>
      </c>
      <c r="AC206" s="1" t="s">
        <v>34</v>
      </c>
      <c r="AD206" s="10">
        <v>696.62273856000002</v>
      </c>
      <c r="AE206" s="1" t="s">
        <v>25</v>
      </c>
    </row>
    <row r="207" spans="1:31" x14ac:dyDescent="0.2">
      <c r="A207" s="1" t="s">
        <v>459</v>
      </c>
      <c r="B207" s="2" t="s">
        <v>1408</v>
      </c>
      <c r="C207" s="3">
        <v>3.29171396140748</v>
      </c>
      <c r="D207" s="2">
        <v>14.644</v>
      </c>
      <c r="E207" s="2">
        <v>11.153846</v>
      </c>
      <c r="F207" s="4" t="s">
        <v>1408</v>
      </c>
      <c r="G207" s="4">
        <v>18.049290673105901</v>
      </c>
      <c r="H207" s="2" t="s">
        <v>1408</v>
      </c>
      <c r="I207" s="4" t="s">
        <v>1408</v>
      </c>
      <c r="J207" s="4">
        <v>38.437503145223801</v>
      </c>
      <c r="K207" s="4">
        <v>2.2764479999999998</v>
      </c>
      <c r="L207" s="4" t="s">
        <v>1408</v>
      </c>
      <c r="N207" s="5" t="s">
        <v>1408</v>
      </c>
      <c r="O207" s="5">
        <v>597973</v>
      </c>
      <c r="P207" s="6" t="e">
        <v>#VALUE!</v>
      </c>
      <c r="Q207" s="1"/>
      <c r="R207" s="7" t="e">
        <f ca="1">_xll.SNL.Clients.Office.Excel.Functions.SPG(A207, "SP_TOTAL_DEBT", "LTM")</f>
        <v>#NAME?</v>
      </c>
      <c r="S207" s="8" t="e">
        <f ca="1">_xll.SNL.Clients.Office.Excel.Functions.SPG(A207, "SP_DEBT_TO_EQUITY", "LTM")</f>
        <v>#NAME?</v>
      </c>
      <c r="U207" s="9" t="e">
        <f t="shared" ca="1" si="3"/>
        <v>#VALUE!</v>
      </c>
      <c r="Y207" s="1"/>
      <c r="Z207" s="1"/>
      <c r="AA207" s="10"/>
      <c r="AB207" s="1" t="s">
        <v>460</v>
      </c>
      <c r="AC207" s="1" t="s">
        <v>34</v>
      </c>
      <c r="AD207" s="10">
        <v>6796.6878028000001</v>
      </c>
      <c r="AE207" s="1" t="s">
        <v>25</v>
      </c>
    </row>
    <row r="208" spans="1:31" x14ac:dyDescent="0.2">
      <c r="A208" s="1" t="s">
        <v>461</v>
      </c>
      <c r="B208" s="2" t="s">
        <v>1408</v>
      </c>
      <c r="C208" s="3">
        <v>12.4423963133641</v>
      </c>
      <c r="D208" s="2">
        <v>16.145</v>
      </c>
      <c r="E208" s="2">
        <v>6.8879780000000004</v>
      </c>
      <c r="F208" s="4">
        <v>1.1850000000000001</v>
      </c>
      <c r="G208" s="4">
        <v>16.716799533801101</v>
      </c>
      <c r="H208" s="2" t="s">
        <v>1408</v>
      </c>
      <c r="I208" s="4" t="s">
        <v>1408</v>
      </c>
      <c r="J208" s="4">
        <v>45.066091468549402</v>
      </c>
      <c r="K208" s="4">
        <v>1.056403</v>
      </c>
      <c r="L208" s="4" t="s">
        <v>1408</v>
      </c>
      <c r="N208" s="5" t="s">
        <v>1408</v>
      </c>
      <c r="O208" s="5">
        <v>250143</v>
      </c>
      <c r="P208" s="6" t="e">
        <v>#VALUE!</v>
      </c>
      <c r="Q208" s="1"/>
      <c r="R208" s="7" t="e">
        <f ca="1">_xll.SNL.Clients.Office.Excel.Functions.SPG(A208, "SP_TOTAL_DEBT", "LTM")</f>
        <v>#NAME?</v>
      </c>
      <c r="S208" s="8" t="e">
        <f ca="1">_xll.SNL.Clients.Office.Excel.Functions.SPG(A208, "SP_DEBT_TO_EQUITY", "LTM")</f>
        <v>#NAME?</v>
      </c>
      <c r="U208" s="9" t="e">
        <f t="shared" ca="1" si="3"/>
        <v>#VALUE!</v>
      </c>
      <c r="Y208" s="1"/>
      <c r="Z208" s="1"/>
      <c r="AA208" s="10"/>
      <c r="AB208" s="1" t="s">
        <v>462</v>
      </c>
      <c r="AC208" s="1" t="s">
        <v>34</v>
      </c>
      <c r="AD208" s="10">
        <v>1680.20201664</v>
      </c>
      <c r="AE208" s="1" t="s">
        <v>25</v>
      </c>
    </row>
    <row r="209" spans="1:31" x14ac:dyDescent="0.2">
      <c r="A209" s="1" t="s">
        <v>463</v>
      </c>
      <c r="B209" s="2" t="s">
        <v>1408</v>
      </c>
      <c r="C209" s="3">
        <v>-4.7904191616766401</v>
      </c>
      <c r="D209" s="2">
        <v>0.74199999999999999</v>
      </c>
      <c r="E209" s="2">
        <v>10.440251999999999</v>
      </c>
      <c r="F209" s="4">
        <v>1.4830000000000001</v>
      </c>
      <c r="G209" s="4">
        <v>11.033782753545101</v>
      </c>
      <c r="H209" s="2" t="s">
        <v>1408</v>
      </c>
      <c r="I209" s="4" t="s">
        <v>1408</v>
      </c>
      <c r="J209" s="4">
        <v>58.424163670105699</v>
      </c>
      <c r="K209" s="4">
        <v>1.113197</v>
      </c>
      <c r="L209" s="4" t="s">
        <v>1408</v>
      </c>
      <c r="N209" s="5" t="s">
        <v>1408</v>
      </c>
      <c r="O209" s="5">
        <v>221435</v>
      </c>
      <c r="P209" s="6" t="e">
        <v>#VALUE!</v>
      </c>
      <c r="Q209" s="1"/>
      <c r="R209" s="7" t="e">
        <f ca="1">_xll.SNL.Clients.Office.Excel.Functions.SPG(A209, "SP_TOTAL_DEBT", "LTM")</f>
        <v>#NAME?</v>
      </c>
      <c r="S209" s="8" t="e">
        <f ca="1">_xll.SNL.Clients.Office.Excel.Functions.SPG(A209, "SP_DEBT_TO_EQUITY", "LTM")</f>
        <v>#NAME?</v>
      </c>
      <c r="U209" s="9" t="e">
        <f t="shared" ca="1" si="3"/>
        <v>#VALUE!</v>
      </c>
      <c r="Y209" s="1"/>
      <c r="Z209" s="1"/>
      <c r="AA209" s="10"/>
      <c r="AB209" s="1" t="s">
        <v>464</v>
      </c>
      <c r="AC209" s="1" t="s">
        <v>34</v>
      </c>
      <c r="AD209" s="10">
        <v>2336.81533137</v>
      </c>
      <c r="AE209" s="1" t="s">
        <v>25</v>
      </c>
    </row>
    <row r="210" spans="1:31" x14ac:dyDescent="0.2">
      <c r="A210" s="1" t="s">
        <v>465</v>
      </c>
      <c r="B210" s="2" t="s">
        <v>1408</v>
      </c>
      <c r="C210" s="3">
        <v>-35.812672176308503</v>
      </c>
      <c r="D210" s="2">
        <v>4.25</v>
      </c>
      <c r="E210" s="2" t="s">
        <v>1408</v>
      </c>
      <c r="F210" s="4">
        <v>0.76900000000000002</v>
      </c>
      <c r="G210" s="4">
        <v>7.1181947581284097</v>
      </c>
      <c r="H210" s="2" t="s">
        <v>1408</v>
      </c>
      <c r="I210" s="4" t="s">
        <v>1408</v>
      </c>
      <c r="J210" s="4" t="s">
        <v>1408</v>
      </c>
      <c r="K210" s="4" t="s">
        <v>1408</v>
      </c>
      <c r="L210" s="4" t="s">
        <v>1408</v>
      </c>
      <c r="N210" s="5" t="s">
        <v>1408</v>
      </c>
      <c r="O210" s="5">
        <v>26167</v>
      </c>
      <c r="P210" s="6" t="e">
        <v>#VALUE!</v>
      </c>
      <c r="Q210" s="1"/>
      <c r="R210" s="7" t="e">
        <f ca="1">_xll.SNL.Clients.Office.Excel.Functions.SPG(A210, "SP_TOTAL_DEBT", "LTM")</f>
        <v>#NAME?</v>
      </c>
      <c r="S210" s="8" t="e">
        <f ca="1">_xll.SNL.Clients.Office.Excel.Functions.SPG(A210, "SP_DEBT_TO_EQUITY", "LTM")</f>
        <v>#NAME?</v>
      </c>
      <c r="U210" s="9" t="e">
        <f t="shared" ca="1" si="3"/>
        <v>#VALUE!</v>
      </c>
      <c r="Y210" s="1"/>
      <c r="Z210" s="1"/>
      <c r="AA210" s="10"/>
      <c r="AB210" s="1" t="s">
        <v>466</v>
      </c>
      <c r="AC210" s="1" t="s">
        <v>34</v>
      </c>
      <c r="AD210" s="10">
        <v>367.46485775000002</v>
      </c>
      <c r="AE210" s="1" t="s">
        <v>25</v>
      </c>
    </row>
    <row r="211" spans="1:31" x14ac:dyDescent="0.2">
      <c r="A211" s="1" t="s">
        <v>467</v>
      </c>
      <c r="B211" s="2">
        <v>7.5430000000000001</v>
      </c>
      <c r="C211" s="3">
        <v>6.4356435643564298</v>
      </c>
      <c r="D211" s="2">
        <v>15.116</v>
      </c>
      <c r="E211" s="2">
        <v>10.186499</v>
      </c>
      <c r="F211" s="4">
        <v>4.859</v>
      </c>
      <c r="G211" s="4">
        <v>10.883650288410299</v>
      </c>
      <c r="H211" s="2">
        <v>20.673999999999999</v>
      </c>
      <c r="I211" s="4">
        <v>0.53900000000000003</v>
      </c>
      <c r="J211" s="4" t="s">
        <v>1408</v>
      </c>
      <c r="K211" s="4">
        <v>1.6947080000000001</v>
      </c>
      <c r="L211" s="4">
        <v>6.9729859999999997</v>
      </c>
      <c r="N211" s="5">
        <v>-3340387.5</v>
      </c>
      <c r="O211" s="5">
        <v>270300</v>
      </c>
      <c r="P211" s="6">
        <v>-12.358074361820199</v>
      </c>
      <c r="Q211" s="1"/>
      <c r="R211" s="7" t="e">
        <f ca="1">_xll.SNL.Clients.Office.Excel.Functions.SPG(A211, "SP_TOTAL_DEBT", "LTM")</f>
        <v>#NAME?</v>
      </c>
      <c r="S211" s="8" t="e">
        <f ca="1">_xll.SNL.Clients.Office.Excel.Functions.SPG(A211, "SP_DEBT_TO_EQUITY", "LTM")</f>
        <v>#NAME?</v>
      </c>
      <c r="U211" s="9" t="e">
        <f t="shared" ca="1" si="3"/>
        <v>#NAME?</v>
      </c>
      <c r="Y211" s="1"/>
      <c r="Z211" s="1"/>
      <c r="AA211" s="10"/>
      <c r="AB211" s="1" t="s">
        <v>468</v>
      </c>
      <c r="AC211" s="1" t="s">
        <v>95</v>
      </c>
      <c r="AD211" s="10">
        <v>3365.3188408613601</v>
      </c>
      <c r="AE211" s="1" t="s">
        <v>25</v>
      </c>
    </row>
    <row r="212" spans="1:31" x14ac:dyDescent="0.2">
      <c r="A212" s="1" t="s">
        <v>469</v>
      </c>
      <c r="B212" s="2">
        <v>5.62</v>
      </c>
      <c r="C212" s="3">
        <v>-60.6666666666667</v>
      </c>
      <c r="D212" s="2">
        <v>-2.0430000000000001</v>
      </c>
      <c r="E212" s="2">
        <v>35.322034000000002</v>
      </c>
      <c r="F212" s="4">
        <v>4.194</v>
      </c>
      <c r="G212" s="4">
        <v>4.3430045303173204</v>
      </c>
      <c r="H212" s="2">
        <v>0.92900000000000005</v>
      </c>
      <c r="I212" s="4">
        <v>0.71199999999999997</v>
      </c>
      <c r="J212" s="4" t="s">
        <v>1408</v>
      </c>
      <c r="K212" s="4">
        <v>1.5063249999999999</v>
      </c>
      <c r="L212" s="4">
        <v>6.2761550000000002</v>
      </c>
      <c r="N212" s="5">
        <v>258176</v>
      </c>
      <c r="O212" s="5">
        <v>26200</v>
      </c>
      <c r="P212" s="6">
        <v>9.8540458015267181</v>
      </c>
      <c r="Q212" s="1"/>
      <c r="R212" s="7" t="e">
        <f ca="1">_xll.SNL.Clients.Office.Excel.Functions.SPG(A212, "SP_TOTAL_DEBT", "LTM")</f>
        <v>#NAME?</v>
      </c>
      <c r="S212" s="8" t="e">
        <f ca="1">_xll.SNL.Clients.Office.Excel.Functions.SPG(A212, "SP_DEBT_TO_EQUITY", "LTM")</f>
        <v>#NAME?</v>
      </c>
      <c r="U212" s="9" t="e">
        <f t="shared" ca="1" si="3"/>
        <v>#NAME?</v>
      </c>
      <c r="Y212" s="1"/>
      <c r="Z212" s="1"/>
      <c r="AA212" s="10"/>
      <c r="AB212" s="1" t="s">
        <v>470</v>
      </c>
      <c r="AC212" s="1" t="s">
        <v>31</v>
      </c>
      <c r="AD212" s="10">
        <v>826.22602595000001</v>
      </c>
      <c r="AE212" s="1" t="s">
        <v>25</v>
      </c>
    </row>
    <row r="213" spans="1:31" x14ac:dyDescent="0.2">
      <c r="A213" s="1" t="s">
        <v>471</v>
      </c>
      <c r="B213" s="2">
        <v>20.975000000000001</v>
      </c>
      <c r="C213" s="3">
        <v>-44.258783204798597</v>
      </c>
      <c r="D213" s="2">
        <v>-15.202</v>
      </c>
      <c r="E213" s="2">
        <v>10.695694</v>
      </c>
      <c r="F213" s="4">
        <v>10.055999999999999</v>
      </c>
      <c r="G213" s="4">
        <v>21.238642393905099</v>
      </c>
      <c r="H213" s="2">
        <v>2.2679999999999998</v>
      </c>
      <c r="I213" s="4">
        <v>0.55400000000000005</v>
      </c>
      <c r="J213" s="4" t="s">
        <v>1408</v>
      </c>
      <c r="K213" s="4">
        <v>2.7789869999999999</v>
      </c>
      <c r="L213" s="4">
        <v>10.142685</v>
      </c>
      <c r="N213" s="5">
        <v>2222.7559999999999</v>
      </c>
      <c r="O213" s="5">
        <v>46480.171000000002</v>
      </c>
      <c r="P213" s="6">
        <v>4.7821596869770548E-2</v>
      </c>
      <c r="Q213" s="1"/>
      <c r="R213" s="7" t="e">
        <f ca="1">_xll.SNL.Clients.Office.Excel.Functions.SPG(A213, "SP_TOTAL_DEBT", "LTM")</f>
        <v>#NAME?</v>
      </c>
      <c r="S213" s="8" t="e">
        <f ca="1">_xll.SNL.Clients.Office.Excel.Functions.SPG(A213, "SP_DEBT_TO_EQUITY", "LTM")</f>
        <v>#NAME?</v>
      </c>
      <c r="U213" s="9" t="e">
        <f t="shared" ca="1" si="3"/>
        <v>#NAME?</v>
      </c>
      <c r="Y213" s="1"/>
      <c r="Z213" s="1"/>
      <c r="AA213" s="10"/>
      <c r="AB213" s="1" t="s">
        <v>472</v>
      </c>
      <c r="AC213" s="1" t="s">
        <v>37</v>
      </c>
      <c r="AD213" s="10">
        <v>459.19641648999999</v>
      </c>
      <c r="AE213" s="1" t="s">
        <v>25</v>
      </c>
    </row>
    <row r="214" spans="1:31" x14ac:dyDescent="0.2">
      <c r="A214" s="1" t="s">
        <v>473</v>
      </c>
      <c r="B214" s="2">
        <v>0.80400000000000005</v>
      </c>
      <c r="C214" s="3" t="s">
        <v>1409</v>
      </c>
      <c r="D214" s="2">
        <v>-11.382</v>
      </c>
      <c r="E214" s="2">
        <v>1.917089</v>
      </c>
      <c r="F214" s="4">
        <v>1.9419999999999999</v>
      </c>
      <c r="G214" s="4" t="s">
        <v>1409</v>
      </c>
      <c r="H214" s="2">
        <v>1.472</v>
      </c>
      <c r="I214" s="4">
        <v>1.0660000000000001</v>
      </c>
      <c r="J214" s="4" t="s">
        <v>1408</v>
      </c>
      <c r="K214" s="4">
        <v>1.1650450000000001</v>
      </c>
      <c r="L214" s="4">
        <v>6.8626889999999996</v>
      </c>
      <c r="N214" s="5">
        <v>-95250</v>
      </c>
      <c r="O214" s="5">
        <v>1179600</v>
      </c>
      <c r="P214" s="6">
        <v>-8.0747711088504578E-2</v>
      </c>
      <c r="Q214" s="1"/>
      <c r="R214" s="7" t="e">
        <f ca="1">_xll.SNL.Clients.Office.Excel.Functions.SPG(A214, "SP_TOTAL_DEBT", "LTM")</f>
        <v>#NAME?</v>
      </c>
      <c r="S214" s="8" t="e">
        <f ca="1">_xll.SNL.Clients.Office.Excel.Functions.SPG(A214, "SP_DEBT_TO_EQUITY", "LTM")</f>
        <v>#NAME?</v>
      </c>
      <c r="U214" s="9" t="e">
        <f t="shared" ca="1" si="3"/>
        <v>#NAME?</v>
      </c>
      <c r="Y214" s="1"/>
      <c r="Z214" s="1"/>
      <c r="AA214" s="10"/>
      <c r="AB214" s="1" t="s">
        <v>474</v>
      </c>
      <c r="AC214" s="1" t="s">
        <v>57</v>
      </c>
      <c r="AD214" s="10">
        <v>1142.0267071999999</v>
      </c>
      <c r="AE214" s="1" t="s">
        <v>25</v>
      </c>
    </row>
    <row r="215" spans="1:31" x14ac:dyDescent="0.2">
      <c r="A215" s="1" t="s">
        <v>475</v>
      </c>
      <c r="B215" s="2">
        <v>28.542999999999999</v>
      </c>
      <c r="C215" s="3" t="s">
        <v>1408</v>
      </c>
      <c r="D215" s="2" t="s">
        <v>1408</v>
      </c>
      <c r="E215" s="2" t="s">
        <v>1409</v>
      </c>
      <c r="F215" s="4">
        <v>-2.7770000000000001</v>
      </c>
      <c r="G215" s="4" t="s">
        <v>1408</v>
      </c>
      <c r="H215" s="2">
        <v>6.0999999999999999E-2</v>
      </c>
      <c r="I215" s="4" t="s">
        <v>1408</v>
      </c>
      <c r="J215" s="4" t="s">
        <v>1408</v>
      </c>
      <c r="K215" s="4" t="s">
        <v>1409</v>
      </c>
      <c r="L215" s="4" t="s">
        <v>1408</v>
      </c>
      <c r="N215" s="5">
        <v>28379.589</v>
      </c>
      <c r="O215" s="5">
        <v>-25552.325000000001</v>
      </c>
      <c r="P215" s="6">
        <v>-1.1106460566699898</v>
      </c>
      <c r="Q215" s="1"/>
      <c r="R215" s="7" t="e">
        <f ca="1">_xll.SNL.Clients.Office.Excel.Functions.SPG(A215, "SP_TOTAL_DEBT", "LTM")</f>
        <v>#NAME?</v>
      </c>
      <c r="S215" s="8" t="e">
        <f ca="1">_xll.SNL.Clients.Office.Excel.Functions.SPG(A215, "SP_DEBT_TO_EQUITY", "LTM")</f>
        <v>#NAME?</v>
      </c>
      <c r="U215" s="9" t="e">
        <f t="shared" ca="1" si="3"/>
        <v>#NAME?</v>
      </c>
      <c r="Y215" s="1"/>
      <c r="Z215" s="1"/>
      <c r="AA215" s="10"/>
      <c r="AB215" s="1" t="s">
        <v>476</v>
      </c>
      <c r="AC215" s="1" t="s">
        <v>37</v>
      </c>
      <c r="AD215" s="10">
        <v>1410.99356145</v>
      </c>
      <c r="AE215" s="1" t="s">
        <v>25</v>
      </c>
    </row>
    <row r="216" spans="1:31" x14ac:dyDescent="0.2">
      <c r="A216" s="1" t="s">
        <v>477</v>
      </c>
      <c r="B216" s="2" t="s">
        <v>1408</v>
      </c>
      <c r="C216" s="3">
        <v>-38.605898123324401</v>
      </c>
      <c r="D216" s="2">
        <v>-15.18</v>
      </c>
      <c r="E216" s="2">
        <v>8.5283840000000009</v>
      </c>
      <c r="F216" s="4">
        <v>0.71599999999999997</v>
      </c>
      <c r="G216" s="4">
        <v>7.9095619693405101</v>
      </c>
      <c r="H216" s="2" t="s">
        <v>1408</v>
      </c>
      <c r="I216" s="4" t="s">
        <v>1408</v>
      </c>
      <c r="J216" s="4">
        <v>41.918004611429197</v>
      </c>
      <c r="K216" s="4">
        <v>0.68329700000000004</v>
      </c>
      <c r="L216" s="4" t="s">
        <v>1408</v>
      </c>
      <c r="N216" s="5" t="s">
        <v>1408</v>
      </c>
      <c r="O216" s="5">
        <v>96094</v>
      </c>
      <c r="P216" s="6" t="e">
        <v>#VALUE!</v>
      </c>
      <c r="Q216" s="1"/>
      <c r="R216" s="7" t="e">
        <f ca="1">_xll.SNL.Clients.Office.Excel.Functions.SPG(A216, "SP_TOTAL_DEBT", "LTM")</f>
        <v>#NAME?</v>
      </c>
      <c r="S216" s="8" t="e">
        <f ca="1">_xll.SNL.Clients.Office.Excel.Functions.SPG(A216, "SP_DEBT_TO_EQUITY", "LTM")</f>
        <v>#NAME?</v>
      </c>
      <c r="U216" s="9" t="e">
        <f t="shared" ca="1" si="3"/>
        <v>#VALUE!</v>
      </c>
      <c r="Y216" s="1"/>
      <c r="Z216" s="1"/>
      <c r="AA216" s="10"/>
      <c r="AB216" s="1" t="s">
        <v>478</v>
      </c>
      <c r="AC216" s="1" t="s">
        <v>34</v>
      </c>
      <c r="AD216" s="10">
        <v>885.55263000000002</v>
      </c>
      <c r="AE216" s="1" t="s">
        <v>25</v>
      </c>
    </row>
    <row r="217" spans="1:31" x14ac:dyDescent="0.2">
      <c r="A217" s="1" t="s">
        <v>479</v>
      </c>
      <c r="B217" s="2" t="s">
        <v>1408</v>
      </c>
      <c r="C217" s="3">
        <v>-27.072538860103599</v>
      </c>
      <c r="D217" s="2">
        <v>17.699000000000002</v>
      </c>
      <c r="E217" s="2">
        <v>9.3869939999999996</v>
      </c>
      <c r="F217" s="4">
        <v>2.077</v>
      </c>
      <c r="G217" s="4">
        <v>20.726849730339499</v>
      </c>
      <c r="H217" s="2">
        <v>1.2529999999999999</v>
      </c>
      <c r="I217" s="4">
        <v>9.0999999999999998E-2</v>
      </c>
      <c r="J217" s="4">
        <v>24.123581336696098</v>
      </c>
      <c r="K217" s="4">
        <v>1.7814270000000001</v>
      </c>
      <c r="L217" s="4" t="s">
        <v>1408</v>
      </c>
      <c r="N217" s="5" t="s">
        <v>1408</v>
      </c>
      <c r="O217" s="5">
        <v>2940000</v>
      </c>
      <c r="P217" s="6" t="e">
        <v>#VALUE!</v>
      </c>
      <c r="Q217" s="1"/>
      <c r="R217" s="7" t="e">
        <f ca="1">_xll.SNL.Clients.Office.Excel.Functions.SPG(A217, "SP_TOTAL_DEBT", "LTM")</f>
        <v>#NAME?</v>
      </c>
      <c r="S217" s="8" t="e">
        <f ca="1">_xll.SNL.Clients.Office.Excel.Functions.SPG(A217, "SP_DEBT_TO_EQUITY", "LTM")</f>
        <v>#NAME?</v>
      </c>
      <c r="U217" s="9" t="e">
        <f t="shared" ca="1" si="3"/>
        <v>#VALUE!</v>
      </c>
      <c r="Y217" s="1"/>
      <c r="Z217" s="1"/>
      <c r="AA217" s="10"/>
      <c r="AB217" s="1" t="s">
        <v>480</v>
      </c>
      <c r="AC217" s="1" t="s">
        <v>57</v>
      </c>
      <c r="AD217" s="10">
        <v>26386.1154116</v>
      </c>
      <c r="AE217" s="1" t="s">
        <v>25</v>
      </c>
    </row>
    <row r="218" spans="1:31" x14ac:dyDescent="0.2">
      <c r="A218" s="1" t="s">
        <v>481</v>
      </c>
      <c r="B218" s="2">
        <v>23.074000000000002</v>
      </c>
      <c r="C218" s="3">
        <v>40</v>
      </c>
      <c r="D218" s="2">
        <v>71.605999999999995</v>
      </c>
      <c r="E218" s="2">
        <v>36.035634999999999</v>
      </c>
      <c r="F218" s="4">
        <v>11.207000000000001</v>
      </c>
      <c r="G218" s="4">
        <v>31.712404027761501</v>
      </c>
      <c r="H218" s="2">
        <v>1.6639999999999999</v>
      </c>
      <c r="I218" s="4">
        <v>0.63100000000000001</v>
      </c>
      <c r="J218" s="4" t="s">
        <v>1408</v>
      </c>
      <c r="K218" s="4">
        <v>10.880967999999999</v>
      </c>
      <c r="L218" s="4">
        <v>24.228757000000002</v>
      </c>
      <c r="N218" s="5">
        <v>129404.75</v>
      </c>
      <c r="O218" s="5">
        <v>139969</v>
      </c>
      <c r="P218" s="6">
        <v>0.92452435896519947</v>
      </c>
      <c r="Q218" s="1"/>
      <c r="R218" s="7" t="e">
        <f ca="1">_xll.SNL.Clients.Office.Excel.Functions.SPG(A218, "SP_TOTAL_DEBT", "LTM")</f>
        <v>#NAME?</v>
      </c>
      <c r="S218" s="8" t="e">
        <f ca="1">_xll.SNL.Clients.Office.Excel.Functions.SPG(A218, "SP_DEBT_TO_EQUITY", "LTM")</f>
        <v>#NAME?</v>
      </c>
      <c r="U218" s="9" t="e">
        <f t="shared" ca="1" si="3"/>
        <v>#NAME?</v>
      </c>
      <c r="Y218" s="1"/>
      <c r="Z218" s="1"/>
      <c r="AA218" s="10"/>
      <c r="AB218" s="1" t="s">
        <v>482</v>
      </c>
      <c r="AC218" s="1" t="s">
        <v>167</v>
      </c>
      <c r="AD218" s="10">
        <v>4664.7778656600003</v>
      </c>
      <c r="AE218" s="1" t="s">
        <v>42</v>
      </c>
    </row>
    <row r="219" spans="1:31" x14ac:dyDescent="0.2">
      <c r="A219" s="1" t="s">
        <v>483</v>
      </c>
      <c r="B219" s="2">
        <v>-0.34799999999999998</v>
      </c>
      <c r="C219" s="3" t="s">
        <v>1409</v>
      </c>
      <c r="D219" s="2">
        <v>3.8889999999999998</v>
      </c>
      <c r="E219" s="2">
        <v>48.266666999999998</v>
      </c>
      <c r="F219" s="4">
        <v>0.34</v>
      </c>
      <c r="G219" s="4">
        <v>-0.38719135806281801</v>
      </c>
      <c r="H219" s="2">
        <v>0.495</v>
      </c>
      <c r="I219" s="4">
        <v>0.40500000000000003</v>
      </c>
      <c r="J219" s="4" t="s">
        <v>1408</v>
      </c>
      <c r="K219" s="4">
        <v>1.0157130000000001</v>
      </c>
      <c r="L219" s="4">
        <v>29.922121000000001</v>
      </c>
      <c r="N219" s="5">
        <v>63308.540999999997</v>
      </c>
      <c r="O219" s="5">
        <v>9875</v>
      </c>
      <c r="P219" s="6">
        <v>6.4109914936708856</v>
      </c>
      <c r="Q219" s="1"/>
      <c r="R219" s="7" t="e">
        <f ca="1">_xll.SNL.Clients.Office.Excel.Functions.SPG(A219, "SP_TOTAL_DEBT", "LTM")</f>
        <v>#NAME?</v>
      </c>
      <c r="S219" s="8" t="e">
        <f ca="1">_xll.SNL.Clients.Office.Excel.Functions.SPG(A219, "SP_DEBT_TO_EQUITY", "LTM")</f>
        <v>#NAME?</v>
      </c>
      <c r="U219" s="9" t="e">
        <f t="shared" ca="1" si="3"/>
        <v>#NAME?</v>
      </c>
      <c r="Y219" s="1"/>
      <c r="Z219" s="1"/>
      <c r="AA219" s="10"/>
      <c r="AB219" s="1" t="s">
        <v>484</v>
      </c>
      <c r="AC219" s="1" t="s">
        <v>95</v>
      </c>
      <c r="AD219" s="10">
        <v>498.79380528000002</v>
      </c>
      <c r="AE219" s="1" t="s">
        <v>25</v>
      </c>
    </row>
    <row r="220" spans="1:31" x14ac:dyDescent="0.2">
      <c r="A220" s="1" t="s">
        <v>485</v>
      </c>
      <c r="B220" s="2">
        <v>17.233000000000001</v>
      </c>
      <c r="C220" s="3" t="s">
        <v>1408</v>
      </c>
      <c r="D220" s="2">
        <v>-16.077999999999999</v>
      </c>
      <c r="E220" s="2">
        <v>23.011510999999999</v>
      </c>
      <c r="F220" s="4">
        <v>9.6</v>
      </c>
      <c r="G220" s="4" t="s">
        <v>1408</v>
      </c>
      <c r="H220" s="2">
        <v>1.1679999999999999</v>
      </c>
      <c r="I220" s="4">
        <v>0.93300000000000005</v>
      </c>
      <c r="J220" s="4" t="s">
        <v>1408</v>
      </c>
      <c r="K220" s="4">
        <v>4.6801599999999999</v>
      </c>
      <c r="L220" s="4">
        <v>13.248677000000001</v>
      </c>
      <c r="N220" s="5">
        <v>112525</v>
      </c>
      <c r="O220" s="5">
        <v>82500</v>
      </c>
      <c r="P220" s="6">
        <v>1.363939393939394</v>
      </c>
      <c r="Q220" s="1"/>
      <c r="R220" s="7" t="e">
        <f ca="1">_xll.SNL.Clients.Office.Excel.Functions.SPG(A220, "SP_TOTAL_DEBT", "LTM")</f>
        <v>#NAME?</v>
      </c>
      <c r="S220" s="8" t="e">
        <f ca="1">_xll.SNL.Clients.Office.Excel.Functions.SPG(A220, "SP_DEBT_TO_EQUITY", "LTM")</f>
        <v>#NAME?</v>
      </c>
      <c r="U220" s="9" t="e">
        <f t="shared" ca="1" si="3"/>
        <v>#NAME?</v>
      </c>
      <c r="Y220" s="1"/>
      <c r="Z220" s="1"/>
      <c r="AA220" s="10"/>
      <c r="AB220" s="1" t="s">
        <v>486</v>
      </c>
      <c r="AC220" s="1" t="s">
        <v>156</v>
      </c>
      <c r="AD220" s="10">
        <v>1808.1665968</v>
      </c>
      <c r="AE220" s="1" t="s">
        <v>25</v>
      </c>
    </row>
    <row r="221" spans="1:31" x14ac:dyDescent="0.2">
      <c r="A221" s="1" t="s">
        <v>487</v>
      </c>
      <c r="B221" s="2">
        <v>1.8069999999999999</v>
      </c>
      <c r="C221" s="3" t="s">
        <v>1409</v>
      </c>
      <c r="D221" s="2">
        <v>2.7240000000000002</v>
      </c>
      <c r="E221" s="2" t="s">
        <v>1409</v>
      </c>
      <c r="F221" s="4">
        <v>1.175</v>
      </c>
      <c r="G221" s="4">
        <v>0.112567394579605</v>
      </c>
      <c r="H221" s="2">
        <v>0.73199999999999998</v>
      </c>
      <c r="I221" s="4">
        <v>0.245</v>
      </c>
      <c r="J221" s="4" t="s">
        <v>1408</v>
      </c>
      <c r="K221" s="4">
        <v>1.3997170000000001</v>
      </c>
      <c r="L221" s="4">
        <v>12.843719999999999</v>
      </c>
      <c r="N221" s="5">
        <v>600562.5</v>
      </c>
      <c r="O221" s="5">
        <v>-22800</v>
      </c>
      <c r="P221" s="6">
        <v>-26.340460526315791</v>
      </c>
      <c r="Q221" s="1"/>
      <c r="R221" s="7" t="e">
        <f ca="1">_xll.SNL.Clients.Office.Excel.Functions.SPG(A221, "SP_TOTAL_DEBT", "LTM")</f>
        <v>#NAME?</v>
      </c>
      <c r="S221" s="8" t="e">
        <f ca="1">_xll.SNL.Clients.Office.Excel.Functions.SPG(A221, "SP_DEBT_TO_EQUITY", "LTM")</f>
        <v>#NAME?</v>
      </c>
      <c r="U221" s="9" t="e">
        <f t="shared" ca="1" si="3"/>
        <v>#NAME?</v>
      </c>
      <c r="Y221" s="1"/>
      <c r="Z221" s="1"/>
      <c r="AA221" s="10"/>
      <c r="AB221" s="1" t="s">
        <v>488</v>
      </c>
      <c r="AC221" s="1" t="s">
        <v>156</v>
      </c>
      <c r="AD221" s="10">
        <v>5087.5413931200001</v>
      </c>
      <c r="AE221" s="1" t="s">
        <v>25</v>
      </c>
    </row>
    <row r="222" spans="1:31" x14ac:dyDescent="0.2">
      <c r="A222" s="1" t="s">
        <v>489</v>
      </c>
      <c r="B222" s="2" t="s">
        <v>1408</v>
      </c>
      <c r="C222" s="3" t="s">
        <v>1409</v>
      </c>
      <c r="D222" s="2">
        <v>-84.888000000000005</v>
      </c>
      <c r="E222" s="2" t="s">
        <v>1409</v>
      </c>
      <c r="F222" s="4">
        <v>-0.123</v>
      </c>
      <c r="G222" s="4">
        <v>-0.71566845462167294</v>
      </c>
      <c r="H222" s="2">
        <v>5.8999999999999997E-2</v>
      </c>
      <c r="I222" s="4">
        <v>5.0000000000000001E-3</v>
      </c>
      <c r="J222" s="4" t="s">
        <v>1408</v>
      </c>
      <c r="K222" s="4">
        <v>0.91140200000000005</v>
      </c>
      <c r="L222" s="4" t="s">
        <v>1408</v>
      </c>
      <c r="N222" s="5" t="s">
        <v>1408</v>
      </c>
      <c r="O222" s="5">
        <v>-6130</v>
      </c>
      <c r="P222" s="6" t="e">
        <v>#VALUE!</v>
      </c>
      <c r="Q222" s="1"/>
      <c r="R222" s="7" t="e">
        <f ca="1">_xll.SNL.Clients.Office.Excel.Functions.SPG(A222, "SP_TOTAL_DEBT", "LTM")</f>
        <v>#NAME?</v>
      </c>
      <c r="S222" s="8" t="e">
        <f ca="1">_xll.SNL.Clients.Office.Excel.Functions.SPG(A222, "SP_DEBT_TO_EQUITY", "LTM")</f>
        <v>#NAME?</v>
      </c>
      <c r="U222" s="9" t="e">
        <f t="shared" ca="1" si="3"/>
        <v>#VALUE!</v>
      </c>
      <c r="Y222" s="1"/>
      <c r="Z222" s="1"/>
      <c r="AA222" s="10"/>
      <c r="AB222" s="1" t="s">
        <v>490</v>
      </c>
      <c r="AC222" s="1" t="s">
        <v>65</v>
      </c>
      <c r="AD222" s="10">
        <v>698.14814328</v>
      </c>
      <c r="AE222" s="1" t="s">
        <v>25</v>
      </c>
    </row>
    <row r="223" spans="1:31" x14ac:dyDescent="0.2">
      <c r="A223" s="1" t="s">
        <v>491</v>
      </c>
      <c r="B223" s="2" t="s">
        <v>1408</v>
      </c>
      <c r="C223" s="3">
        <v>-24.829157175398599</v>
      </c>
      <c r="D223" s="2">
        <v>-8.2880000000000003</v>
      </c>
      <c r="E223" s="2">
        <v>5.9278870000000001</v>
      </c>
      <c r="F223" s="4" t="s">
        <v>1408</v>
      </c>
      <c r="G223" s="4">
        <v>8.1066817187610205</v>
      </c>
      <c r="H223" s="2" t="s">
        <v>1408</v>
      </c>
      <c r="I223" s="4" t="s">
        <v>1408</v>
      </c>
      <c r="J223" s="4">
        <v>41.188104847111298</v>
      </c>
      <c r="K223" s="4">
        <v>0.57847999999999999</v>
      </c>
      <c r="L223" s="4" t="s">
        <v>1408</v>
      </c>
      <c r="N223" s="5" t="s">
        <v>1408</v>
      </c>
      <c r="O223" s="5">
        <v>100534</v>
      </c>
      <c r="P223" s="6" t="e">
        <v>#VALUE!</v>
      </c>
      <c r="Q223" s="1"/>
      <c r="R223" s="7" t="e">
        <f ca="1">_xll.SNL.Clients.Office.Excel.Functions.SPG(A223, "SP_TOTAL_DEBT", "LTM")</f>
        <v>#NAME?</v>
      </c>
      <c r="S223" s="8" t="e">
        <f ca="1">_xll.SNL.Clients.Office.Excel.Functions.SPG(A223, "SP_DEBT_TO_EQUITY", "LTM")</f>
        <v>#NAME?</v>
      </c>
      <c r="U223" s="9" t="e">
        <f t="shared" ca="1" si="3"/>
        <v>#VALUE!</v>
      </c>
      <c r="Y223" s="1"/>
      <c r="Z223" s="1"/>
      <c r="AA223" s="10"/>
      <c r="AB223" s="1" t="s">
        <v>492</v>
      </c>
      <c r="AC223" s="1" t="s">
        <v>34</v>
      </c>
      <c r="AD223" s="10">
        <v>741.85592148000001</v>
      </c>
      <c r="AE223" s="1" t="s">
        <v>25</v>
      </c>
    </row>
    <row r="224" spans="1:31" x14ac:dyDescent="0.2">
      <c r="A224" s="1" t="s">
        <v>493</v>
      </c>
      <c r="B224" s="2" t="s">
        <v>1408</v>
      </c>
      <c r="C224" s="3">
        <v>3.2828282828282802</v>
      </c>
      <c r="D224" s="2">
        <v>9.4789999999999992</v>
      </c>
      <c r="E224" s="2">
        <v>8.4669930000000004</v>
      </c>
      <c r="F224" s="4">
        <v>1.7370000000000001</v>
      </c>
      <c r="G224" s="4">
        <v>17.910900611369598</v>
      </c>
      <c r="H224" s="2" t="s">
        <v>1408</v>
      </c>
      <c r="I224" s="4" t="s">
        <v>1408</v>
      </c>
      <c r="J224" s="4">
        <v>58.9237218766973</v>
      </c>
      <c r="K224" s="4">
        <v>1.3952739999999999</v>
      </c>
      <c r="L224" s="4" t="s">
        <v>1408</v>
      </c>
      <c r="N224" s="5" t="s">
        <v>1408</v>
      </c>
      <c r="O224" s="5">
        <v>1161161</v>
      </c>
      <c r="P224" s="6" t="e">
        <v>#VALUE!</v>
      </c>
      <c r="Q224" s="1"/>
      <c r="R224" s="7" t="e">
        <f ca="1">_xll.SNL.Clients.Office.Excel.Functions.SPG(A224, "SP_TOTAL_DEBT", "LTM")</f>
        <v>#NAME?</v>
      </c>
      <c r="S224" s="8" t="e">
        <f ca="1">_xll.SNL.Clients.Office.Excel.Functions.SPG(A224, "SP_DEBT_TO_EQUITY", "LTM")</f>
        <v>#NAME?</v>
      </c>
      <c r="U224" s="9" t="e">
        <f t="shared" ca="1" si="3"/>
        <v>#VALUE!</v>
      </c>
      <c r="Y224" s="1"/>
      <c r="Z224" s="1"/>
      <c r="AA224" s="10"/>
      <c r="AB224" s="1" t="s">
        <v>494</v>
      </c>
      <c r="AC224" s="1" t="s">
        <v>34</v>
      </c>
      <c r="AD224" s="10">
        <v>10195.36587</v>
      </c>
      <c r="AE224" s="1" t="s">
        <v>25</v>
      </c>
    </row>
    <row r="225" spans="1:31" x14ac:dyDescent="0.2">
      <c r="A225" s="1" t="s">
        <v>495</v>
      </c>
      <c r="B225" s="2" t="s">
        <v>1408</v>
      </c>
      <c r="C225" s="3" t="s">
        <v>1409</v>
      </c>
      <c r="D225" s="2">
        <v>-59.713000000000001</v>
      </c>
      <c r="E225" s="2">
        <v>9.4179519999999997</v>
      </c>
      <c r="F225" s="4">
        <v>-0.28599999999999998</v>
      </c>
      <c r="G225" s="4">
        <v>9.0306071448435805</v>
      </c>
      <c r="H225" s="2" t="s">
        <v>1408</v>
      </c>
      <c r="I225" s="4" t="s">
        <v>1408</v>
      </c>
      <c r="J225" s="4">
        <v>34.601734832601998</v>
      </c>
      <c r="K225" s="4">
        <v>0.734321</v>
      </c>
      <c r="L225" s="4" t="s">
        <v>1408</v>
      </c>
      <c r="N225" s="5" t="s">
        <v>1408</v>
      </c>
      <c r="O225" s="5">
        <v>232177</v>
      </c>
      <c r="P225" s="6" t="e">
        <v>#VALUE!</v>
      </c>
      <c r="Q225" s="1"/>
      <c r="R225" s="7" t="e">
        <f ca="1">_xll.SNL.Clients.Office.Excel.Functions.SPG(A225, "SP_TOTAL_DEBT", "LTM")</f>
        <v>#NAME?</v>
      </c>
      <c r="S225" s="8" t="e">
        <f ca="1">_xll.SNL.Clients.Office.Excel.Functions.SPG(A225, "SP_DEBT_TO_EQUITY", "LTM")</f>
        <v>#NAME?</v>
      </c>
      <c r="U225" s="9" t="e">
        <f t="shared" ca="1" si="3"/>
        <v>#VALUE!</v>
      </c>
      <c r="Y225" s="1"/>
      <c r="Z225" s="1"/>
      <c r="AA225" s="10"/>
      <c r="AB225" s="1" t="s">
        <v>496</v>
      </c>
      <c r="AC225" s="1" t="s">
        <v>34</v>
      </c>
      <c r="AD225" s="10">
        <v>2270.6968154000001</v>
      </c>
      <c r="AE225" s="1" t="s">
        <v>25</v>
      </c>
    </row>
    <row r="226" spans="1:31" x14ac:dyDescent="0.2">
      <c r="A226" s="1" t="s">
        <v>497</v>
      </c>
      <c r="B226" s="2" t="s">
        <v>1408</v>
      </c>
      <c r="C226" s="3" t="s">
        <v>1409</v>
      </c>
      <c r="D226" s="2">
        <v>54.942</v>
      </c>
      <c r="E226" s="2" t="s">
        <v>1409</v>
      </c>
      <c r="F226" s="4">
        <v>-4.2450000000000001</v>
      </c>
      <c r="G226" s="4">
        <v>7.2906869514550596</v>
      </c>
      <c r="H226" s="2">
        <v>9.9420000000000002</v>
      </c>
      <c r="I226" s="4">
        <v>8.1000000000000003E-2</v>
      </c>
      <c r="J226" s="4">
        <v>-52.694855647337903</v>
      </c>
      <c r="K226" s="4">
        <v>4.0821199999999997</v>
      </c>
      <c r="L226" s="4" t="s">
        <v>1408</v>
      </c>
      <c r="N226" s="5" t="s">
        <v>1408</v>
      </c>
      <c r="O226" s="5">
        <v>-59266</v>
      </c>
      <c r="P226" s="6" t="e">
        <v>#VALUE!</v>
      </c>
      <c r="Q226" s="1"/>
      <c r="R226" s="7" t="e">
        <f ca="1">_xll.SNL.Clients.Office.Excel.Functions.SPG(A226, "SP_TOTAL_DEBT", "LTM")</f>
        <v>#NAME?</v>
      </c>
      <c r="S226" s="8" t="e">
        <f ca="1">_xll.SNL.Clients.Office.Excel.Functions.SPG(A226, "SP_DEBT_TO_EQUITY", "LTM")</f>
        <v>#NAME?</v>
      </c>
      <c r="U226" s="9" t="e">
        <f t="shared" ca="1" si="3"/>
        <v>#VALUE!</v>
      </c>
      <c r="Y226" s="1"/>
      <c r="Z226" s="1"/>
      <c r="AA226" s="10"/>
      <c r="AB226" s="1" t="s">
        <v>498</v>
      </c>
      <c r="AC226" s="1" t="s">
        <v>28</v>
      </c>
      <c r="AD226" s="10">
        <v>575.42364506798003</v>
      </c>
      <c r="AE226" s="1" t="s">
        <v>25</v>
      </c>
    </row>
    <row r="227" spans="1:31" x14ac:dyDescent="0.2">
      <c r="A227" s="1" t="s">
        <v>499</v>
      </c>
      <c r="B227" s="2">
        <v>-2.3170000000000002</v>
      </c>
      <c r="C227" s="3" t="s">
        <v>1409</v>
      </c>
      <c r="D227" s="2" t="s">
        <v>1409</v>
      </c>
      <c r="E227" s="2">
        <v>4.3935380000000004</v>
      </c>
      <c r="F227" s="4">
        <v>3.7410000000000001</v>
      </c>
      <c r="G227" s="4">
        <v>-4.2523868017093402</v>
      </c>
      <c r="H227" s="2">
        <v>2.5640000000000001</v>
      </c>
      <c r="I227" s="4">
        <v>0.05</v>
      </c>
      <c r="J227" s="4" t="s">
        <v>1408</v>
      </c>
      <c r="K227" s="4">
        <v>0.55110499999999996</v>
      </c>
      <c r="L227" s="4">
        <v>3.7029730000000001</v>
      </c>
      <c r="N227" s="5">
        <v>799711.5</v>
      </c>
      <c r="O227" s="5">
        <v>1033510</v>
      </c>
      <c r="P227" s="6">
        <v>0.77378206306663699</v>
      </c>
      <c r="Q227" s="1"/>
      <c r="R227" s="7" t="e">
        <f ca="1">_xll.SNL.Clients.Office.Excel.Functions.SPG(A227, "SP_TOTAL_DEBT", "LTM")</f>
        <v>#NAME?</v>
      </c>
      <c r="S227" s="8" t="e">
        <f ca="1">_xll.SNL.Clients.Office.Excel.Functions.SPG(A227, "SP_DEBT_TO_EQUITY", "LTM")</f>
        <v>#NAME?</v>
      </c>
      <c r="U227" s="9" t="e">
        <f t="shared" ca="1" si="3"/>
        <v>#NAME?</v>
      </c>
      <c r="Y227" s="1"/>
      <c r="Z227" s="1"/>
      <c r="AA227" s="10"/>
      <c r="AB227" s="1" t="s">
        <v>500</v>
      </c>
      <c r="AC227" s="1" t="s">
        <v>60</v>
      </c>
      <c r="AD227" s="10">
        <v>2654.6282983446799</v>
      </c>
      <c r="AE227" s="1" t="s">
        <v>25</v>
      </c>
    </row>
    <row r="228" spans="1:31" x14ac:dyDescent="0.2">
      <c r="A228" s="1" t="s">
        <v>501</v>
      </c>
      <c r="B228" s="2" t="s">
        <v>1408</v>
      </c>
      <c r="C228" s="3">
        <v>25.3333333333333</v>
      </c>
      <c r="D228" s="2">
        <v>14.81</v>
      </c>
      <c r="E228" s="2">
        <v>20.833333</v>
      </c>
      <c r="F228" s="4">
        <v>3.0390000000000001</v>
      </c>
      <c r="G228" s="4">
        <v>13.2572180499307</v>
      </c>
      <c r="H228" s="2">
        <v>6.6369999999999996</v>
      </c>
      <c r="I228" s="4">
        <v>0.127</v>
      </c>
      <c r="J228" s="4">
        <v>47.676638168677499</v>
      </c>
      <c r="K228" s="4">
        <v>2.4363830000000002</v>
      </c>
      <c r="L228" s="4" t="s">
        <v>1408</v>
      </c>
      <c r="N228" s="5" t="s">
        <v>1408</v>
      </c>
      <c r="O228" s="5">
        <v>456524</v>
      </c>
      <c r="P228" s="6" t="e">
        <v>#VALUE!</v>
      </c>
      <c r="Q228" s="1"/>
      <c r="R228" s="7" t="e">
        <f ca="1">_xll.SNL.Clients.Office.Excel.Functions.SPG(A228, "SP_TOTAL_DEBT", "LTM")</f>
        <v>#NAME?</v>
      </c>
      <c r="S228" s="8" t="e">
        <f ca="1">_xll.SNL.Clients.Office.Excel.Functions.SPG(A228, "SP_DEBT_TO_EQUITY", "LTM")</f>
        <v>#NAME?</v>
      </c>
      <c r="U228" s="9" t="e">
        <f t="shared" ca="1" si="3"/>
        <v>#VALUE!</v>
      </c>
      <c r="Y228" s="1"/>
      <c r="Z228" s="1"/>
      <c r="AA228" s="10"/>
      <c r="AB228" s="1" t="s">
        <v>502</v>
      </c>
      <c r="AC228" s="1" t="s">
        <v>28</v>
      </c>
      <c r="AD228" s="10">
        <v>6597.2141858598197</v>
      </c>
      <c r="AE228" s="1" t="s">
        <v>25</v>
      </c>
    </row>
    <row r="229" spans="1:31" x14ac:dyDescent="0.2">
      <c r="A229" s="1" t="s">
        <v>503</v>
      </c>
      <c r="B229" s="2" t="s">
        <v>1408</v>
      </c>
      <c r="C229" s="3" t="s">
        <v>1409</v>
      </c>
      <c r="D229" s="2">
        <v>-70.980999999999995</v>
      </c>
      <c r="E229" s="2">
        <v>11.396855</v>
      </c>
      <c r="F229" s="4">
        <v>0.91800000000000004</v>
      </c>
      <c r="G229" s="4">
        <v>-5.6579291663099003</v>
      </c>
      <c r="H229" s="2">
        <v>2.8439999999999999</v>
      </c>
      <c r="I229" s="4">
        <v>2.5000000000000001E-2</v>
      </c>
      <c r="J229" s="4" t="s">
        <v>1408</v>
      </c>
      <c r="K229" s="4">
        <v>0.84947899999999998</v>
      </c>
      <c r="L229" s="4" t="s">
        <v>1408</v>
      </c>
      <c r="N229" s="5" t="s">
        <v>1408</v>
      </c>
      <c r="O229" s="5">
        <v>95383</v>
      </c>
      <c r="P229" s="6" t="e">
        <v>#VALUE!</v>
      </c>
      <c r="Q229" s="1"/>
      <c r="R229" s="7" t="e">
        <f ca="1">_xll.SNL.Clients.Office.Excel.Functions.SPG(A229, "SP_TOTAL_DEBT", "LTM")</f>
        <v>#NAME?</v>
      </c>
      <c r="S229" s="8" t="e">
        <f ca="1">_xll.SNL.Clients.Office.Excel.Functions.SPG(A229, "SP_DEBT_TO_EQUITY", "LTM")</f>
        <v>#NAME?</v>
      </c>
      <c r="U229" s="9" t="e">
        <f t="shared" ca="1" si="3"/>
        <v>#VALUE!</v>
      </c>
      <c r="Y229" s="1"/>
      <c r="Z229" s="1"/>
      <c r="AA229" s="10"/>
      <c r="AB229" s="1" t="s">
        <v>504</v>
      </c>
      <c r="AC229" s="1" t="s">
        <v>65</v>
      </c>
      <c r="AD229" s="10">
        <v>833.13909360000002</v>
      </c>
      <c r="AE229" s="1" t="s">
        <v>25</v>
      </c>
    </row>
    <row r="230" spans="1:31" x14ac:dyDescent="0.2">
      <c r="A230" s="1" t="s">
        <v>505</v>
      </c>
      <c r="B230" s="2">
        <v>3.1259999999999999</v>
      </c>
      <c r="C230" s="3">
        <v>-58.033573141486798</v>
      </c>
      <c r="D230" s="2">
        <v>1.4790000000000001</v>
      </c>
      <c r="E230" s="2">
        <v>9.1422120000000007</v>
      </c>
      <c r="F230" s="4">
        <v>2.8109999999999999</v>
      </c>
      <c r="G230" s="4">
        <v>4.48688235839436</v>
      </c>
      <c r="H230" s="2">
        <v>1.2410000000000001</v>
      </c>
      <c r="I230" s="4">
        <v>0.23400000000000001</v>
      </c>
      <c r="J230" s="4" t="s">
        <v>1408</v>
      </c>
      <c r="K230" s="4">
        <v>1.1334379999999999</v>
      </c>
      <c r="L230" s="4">
        <v>5.7665730000000002</v>
      </c>
      <c r="N230" s="5">
        <v>92087.5</v>
      </c>
      <c r="O230" s="5">
        <v>119700</v>
      </c>
      <c r="P230" s="6">
        <v>0.7693191311612364</v>
      </c>
      <c r="Q230" s="1"/>
      <c r="R230" s="7" t="e">
        <f ca="1">_xll.SNL.Clients.Office.Excel.Functions.SPG(A230, "SP_TOTAL_DEBT", "LTM")</f>
        <v>#NAME?</v>
      </c>
      <c r="S230" s="8" t="e">
        <f ca="1">_xll.SNL.Clients.Office.Excel.Functions.SPG(A230, "SP_DEBT_TO_EQUITY", "LTM")</f>
        <v>#NAME?</v>
      </c>
      <c r="U230" s="9" t="e">
        <f t="shared" ca="1" si="3"/>
        <v>#NAME?</v>
      </c>
      <c r="Y230" s="1"/>
      <c r="Z230" s="1"/>
      <c r="AA230" s="10"/>
      <c r="AB230" s="1" t="s">
        <v>506</v>
      </c>
      <c r="AC230" s="1" t="s">
        <v>95</v>
      </c>
      <c r="AD230" s="10">
        <v>1073.0666444399999</v>
      </c>
      <c r="AE230" s="1" t="s">
        <v>25</v>
      </c>
    </row>
    <row r="231" spans="1:31" x14ac:dyDescent="0.2">
      <c r="A231" s="1" t="s">
        <v>507</v>
      </c>
      <c r="B231" s="2">
        <v>11.03</v>
      </c>
      <c r="C231" s="3">
        <v>-4.6403712296983599</v>
      </c>
      <c r="D231" s="2">
        <v>5.3550000000000004</v>
      </c>
      <c r="E231" s="2">
        <v>6.7639899999999997</v>
      </c>
      <c r="F231" s="4">
        <v>9.49</v>
      </c>
      <c r="G231" s="4">
        <v>15.214852948905</v>
      </c>
      <c r="H231" s="2">
        <v>1.0820000000000001</v>
      </c>
      <c r="I231" s="4">
        <v>0.19400000000000001</v>
      </c>
      <c r="J231" s="4" t="s">
        <v>1408</v>
      </c>
      <c r="K231" s="4">
        <v>0.958125</v>
      </c>
      <c r="L231" s="4" t="s">
        <v>1408</v>
      </c>
      <c r="N231" s="5" t="s">
        <v>1408</v>
      </c>
      <c r="O231" s="5">
        <v>665511</v>
      </c>
      <c r="P231" s="6" t="e">
        <v>#VALUE!</v>
      </c>
      <c r="Q231" s="1"/>
      <c r="R231" s="7" t="e">
        <f ca="1">_xll.SNL.Clients.Office.Excel.Functions.SPG(A231, "SP_TOTAL_DEBT", "LTM")</f>
        <v>#NAME?</v>
      </c>
      <c r="S231" s="8" t="e">
        <f ca="1">_xll.SNL.Clients.Office.Excel.Functions.SPG(A231, "SP_DEBT_TO_EQUITY", "LTM")</f>
        <v>#NAME?</v>
      </c>
      <c r="U231" s="9" t="e">
        <f t="shared" ca="1" si="3"/>
        <v>#VALUE!</v>
      </c>
      <c r="Y231" s="1"/>
      <c r="Z231" s="1"/>
      <c r="AA231" s="10"/>
      <c r="AB231" s="1" t="s">
        <v>508</v>
      </c>
      <c r="AC231" s="1" t="s">
        <v>509</v>
      </c>
      <c r="AD231" s="10">
        <v>4549.9492107300002</v>
      </c>
      <c r="AE231" s="1" t="s">
        <v>25</v>
      </c>
    </row>
    <row r="232" spans="1:31" x14ac:dyDescent="0.2">
      <c r="A232" s="1" t="s">
        <v>510</v>
      </c>
      <c r="B232" s="2">
        <v>6.7629999999999999</v>
      </c>
      <c r="C232" s="3">
        <v>-33.747779751332203</v>
      </c>
      <c r="D232" s="2">
        <v>-13.388</v>
      </c>
      <c r="E232" s="2" t="s">
        <v>1409</v>
      </c>
      <c r="F232" s="4">
        <v>3.1389999999999998</v>
      </c>
      <c r="G232" s="4">
        <v>16.454394457581099</v>
      </c>
      <c r="H232" s="2">
        <v>14.35</v>
      </c>
      <c r="I232" s="4">
        <v>0.26</v>
      </c>
      <c r="J232" s="4">
        <v>5.2498915353262703</v>
      </c>
      <c r="K232" s="4">
        <v>0.98314000000000001</v>
      </c>
      <c r="L232" s="4">
        <v>14.191713999999999</v>
      </c>
      <c r="N232" s="5">
        <v>-259102.625</v>
      </c>
      <c r="O232" s="5">
        <v>-8848</v>
      </c>
      <c r="P232" s="6">
        <v>29.283750565099457</v>
      </c>
      <c r="Q232" s="1"/>
      <c r="R232" s="7" t="e">
        <f ca="1">_xll.SNL.Clients.Office.Excel.Functions.SPG(A232, "SP_TOTAL_DEBT", "LTM")</f>
        <v>#NAME?</v>
      </c>
      <c r="S232" s="8" t="e">
        <f ca="1">_xll.SNL.Clients.Office.Excel.Functions.SPG(A232, "SP_DEBT_TO_EQUITY", "LTM")</f>
        <v>#NAME?</v>
      </c>
      <c r="U232" s="9" t="e">
        <f t="shared" ca="1" si="3"/>
        <v>#NAME?</v>
      </c>
      <c r="Y232" s="1"/>
      <c r="Z232" s="1"/>
      <c r="AA232" s="10"/>
      <c r="AB232" s="1" t="s">
        <v>511</v>
      </c>
      <c r="AC232" s="1" t="s">
        <v>161</v>
      </c>
      <c r="AD232" s="10">
        <v>1178.31213776</v>
      </c>
      <c r="AE232" s="1" t="s">
        <v>25</v>
      </c>
    </row>
    <row r="233" spans="1:31" x14ac:dyDescent="0.2">
      <c r="A233" s="1" t="s">
        <v>512</v>
      </c>
      <c r="B233" s="2" t="s">
        <v>1408</v>
      </c>
      <c r="C233" s="3">
        <v>-11.308562197092099</v>
      </c>
      <c r="D233" s="2">
        <v>3.3410000000000002</v>
      </c>
      <c r="E233" s="2">
        <v>9.8488159999999993</v>
      </c>
      <c r="F233" s="4">
        <v>4.1859999999999999</v>
      </c>
      <c r="G233" s="4">
        <v>14.167569056594299</v>
      </c>
      <c r="H233" s="2">
        <v>15.786</v>
      </c>
      <c r="I233" s="4">
        <v>0.247</v>
      </c>
      <c r="J233" s="4">
        <v>23.681948313365201</v>
      </c>
      <c r="K233" s="4">
        <v>1.2682370000000001</v>
      </c>
      <c r="L233" s="4" t="s">
        <v>1408</v>
      </c>
      <c r="N233" s="5" t="s">
        <v>1408</v>
      </c>
      <c r="O233" s="5">
        <v>175121</v>
      </c>
      <c r="P233" s="6" t="e">
        <v>#VALUE!</v>
      </c>
      <c r="Q233" s="1"/>
      <c r="R233" s="7" t="e">
        <f ca="1">_xll.SNL.Clients.Office.Excel.Functions.SPG(A233, "SP_TOTAL_DEBT", "LTM")</f>
        <v>#NAME?</v>
      </c>
      <c r="S233" s="8" t="e">
        <f ca="1">_xll.SNL.Clients.Office.Excel.Functions.SPG(A233, "SP_DEBT_TO_EQUITY", "LTM")</f>
        <v>#NAME?</v>
      </c>
      <c r="U233" s="9" t="e">
        <f t="shared" ca="1" si="3"/>
        <v>#VALUE!</v>
      </c>
      <c r="Y233" s="1"/>
      <c r="Z233" s="1"/>
      <c r="AA233" s="10"/>
      <c r="AB233" s="1" t="s">
        <v>513</v>
      </c>
      <c r="AC233" s="1" t="s">
        <v>82</v>
      </c>
      <c r="AD233" s="10">
        <v>1583.3283129399999</v>
      </c>
      <c r="AE233" s="1" t="s">
        <v>25</v>
      </c>
    </row>
    <row r="234" spans="1:31" x14ac:dyDescent="0.2">
      <c r="A234" s="1" t="s">
        <v>514</v>
      </c>
      <c r="B234" s="2">
        <v>-6.6459999999999999</v>
      </c>
      <c r="C234" s="3" t="s">
        <v>1409</v>
      </c>
      <c r="D234" s="2" t="s">
        <v>1409</v>
      </c>
      <c r="E234" s="2">
        <v>6.2315110000000002</v>
      </c>
      <c r="F234" s="4">
        <v>2.1339999999999999</v>
      </c>
      <c r="G234" s="4">
        <v>-18.554423855687801</v>
      </c>
      <c r="H234" s="2">
        <v>19.550999999999998</v>
      </c>
      <c r="I234" s="4">
        <v>4.2999999999999997E-2</v>
      </c>
      <c r="J234" s="4" t="s">
        <v>1408</v>
      </c>
      <c r="K234" s="4">
        <v>0.87619800000000003</v>
      </c>
      <c r="L234" s="4">
        <v>8.6251080000000009</v>
      </c>
      <c r="N234" s="5">
        <v>736375</v>
      </c>
      <c r="O234" s="5">
        <v>844000</v>
      </c>
      <c r="P234" s="6">
        <v>0.87248222748815163</v>
      </c>
      <c r="Q234" s="1"/>
      <c r="R234" s="7" t="e">
        <f ca="1">_xll.SNL.Clients.Office.Excel.Functions.SPG(A234, "SP_TOTAL_DEBT", "LTM")</f>
        <v>#NAME?</v>
      </c>
      <c r="S234" s="8" t="e">
        <f ca="1">_xll.SNL.Clients.Office.Excel.Functions.SPG(A234, "SP_DEBT_TO_EQUITY", "LTM")</f>
        <v>#NAME?</v>
      </c>
      <c r="U234" s="9" t="e">
        <f t="shared" ca="1" si="3"/>
        <v>#NAME?</v>
      </c>
      <c r="Y234" s="1"/>
      <c r="Z234" s="1"/>
      <c r="AA234" s="10"/>
      <c r="AB234" s="1" t="s">
        <v>515</v>
      </c>
      <c r="AC234" s="1" t="s">
        <v>324</v>
      </c>
      <c r="AD234" s="10">
        <v>4129.7741916599998</v>
      </c>
      <c r="AE234" s="1" t="s">
        <v>25</v>
      </c>
    </row>
    <row r="235" spans="1:31" x14ac:dyDescent="0.2">
      <c r="A235" s="1" t="s">
        <v>516</v>
      </c>
      <c r="B235" s="2" t="s">
        <v>1408</v>
      </c>
      <c r="C235" s="3">
        <v>-11.6477272727273</v>
      </c>
      <c r="D235" s="2">
        <v>-1.8340000000000001</v>
      </c>
      <c r="E235" s="2">
        <v>8.7395499999999995</v>
      </c>
      <c r="F235" s="4">
        <v>0.85499999999999998</v>
      </c>
      <c r="G235" s="4">
        <v>12.4833126141876</v>
      </c>
      <c r="H235" s="2" t="s">
        <v>1408</v>
      </c>
      <c r="I235" s="4" t="s">
        <v>1408</v>
      </c>
      <c r="J235" s="4">
        <v>28.645489022650601</v>
      </c>
      <c r="K235" s="4">
        <v>1.002767</v>
      </c>
      <c r="L235" s="4" t="s">
        <v>1408</v>
      </c>
      <c r="N235" s="5" t="s">
        <v>1408</v>
      </c>
      <c r="O235" s="5">
        <v>38058</v>
      </c>
      <c r="P235" s="6" t="e">
        <v>#VALUE!</v>
      </c>
      <c r="Q235" s="1"/>
      <c r="R235" s="7" t="e">
        <f ca="1">_xll.SNL.Clients.Office.Excel.Functions.SPG(A235, "SP_TOTAL_DEBT", "LTM")</f>
        <v>#NAME?</v>
      </c>
      <c r="S235" s="8" t="e">
        <f ca="1">_xll.SNL.Clients.Office.Excel.Functions.SPG(A235, "SP_DEBT_TO_EQUITY", "LTM")</f>
        <v>#NAME?</v>
      </c>
      <c r="U235" s="9" t="e">
        <f t="shared" ca="1" si="3"/>
        <v>#VALUE!</v>
      </c>
      <c r="Y235" s="1"/>
      <c r="Z235" s="1"/>
      <c r="AA235" s="10"/>
      <c r="AB235" s="1" t="s">
        <v>517</v>
      </c>
      <c r="AC235" s="1" t="s">
        <v>34</v>
      </c>
      <c r="AD235" s="10">
        <v>345.08624065999999</v>
      </c>
      <c r="AE235" s="1" t="s">
        <v>25</v>
      </c>
    </row>
    <row r="236" spans="1:31" x14ac:dyDescent="0.2">
      <c r="A236" s="1" t="s">
        <v>518</v>
      </c>
      <c r="B236" s="2" t="s">
        <v>1408</v>
      </c>
      <c r="C236" s="3">
        <v>-4.51977401129942</v>
      </c>
      <c r="D236" s="2">
        <v>10.242000000000001</v>
      </c>
      <c r="E236" s="2">
        <v>7.7948719999999998</v>
      </c>
      <c r="F236" s="4">
        <v>1.4079999999999999</v>
      </c>
      <c r="G236" s="4">
        <v>11.9559170265187</v>
      </c>
      <c r="H236" s="2" t="s">
        <v>1408</v>
      </c>
      <c r="I236" s="4" t="s">
        <v>1408</v>
      </c>
      <c r="J236" s="4">
        <v>39.385500111810899</v>
      </c>
      <c r="K236" s="4">
        <v>0.89938799999999997</v>
      </c>
      <c r="L236" s="4" t="s">
        <v>1408</v>
      </c>
      <c r="N236" s="5" t="s">
        <v>1408</v>
      </c>
      <c r="O236" s="5">
        <v>194059</v>
      </c>
      <c r="P236" s="6" t="e">
        <v>#VALUE!</v>
      </c>
      <c r="Q236" s="1"/>
      <c r="R236" s="7" t="e">
        <f ca="1">_xll.SNL.Clients.Office.Excel.Functions.SPG(A236, "SP_TOTAL_DEBT", "LTM")</f>
        <v>#NAME?</v>
      </c>
      <c r="S236" s="8" t="e">
        <f ca="1">_xll.SNL.Clients.Office.Excel.Functions.SPG(A236, "SP_DEBT_TO_EQUITY", "LTM")</f>
        <v>#NAME?</v>
      </c>
      <c r="U236" s="9" t="e">
        <f t="shared" ca="1" si="3"/>
        <v>#VALUE!</v>
      </c>
      <c r="Y236" s="1"/>
      <c r="Z236" s="1"/>
      <c r="AA236" s="10"/>
      <c r="AB236" s="1" t="s">
        <v>519</v>
      </c>
      <c r="AC236" s="1" t="s">
        <v>34</v>
      </c>
      <c r="AD236" s="10">
        <v>1557.62808</v>
      </c>
      <c r="AE236" s="1" t="s">
        <v>25</v>
      </c>
    </row>
    <row r="237" spans="1:31" x14ac:dyDescent="0.2">
      <c r="A237" s="1" t="s">
        <v>520</v>
      </c>
      <c r="B237" s="2">
        <v>2.5000000000000001E-2</v>
      </c>
      <c r="C237" s="3" t="s">
        <v>1409</v>
      </c>
      <c r="D237" s="2">
        <v>4.4889999999999999</v>
      </c>
      <c r="E237" s="2" t="s">
        <v>1409</v>
      </c>
      <c r="F237" s="4">
        <v>0.43099999999999999</v>
      </c>
      <c r="G237" s="4">
        <v>-9.2636041575679702</v>
      </c>
      <c r="H237" s="2">
        <v>0.752</v>
      </c>
      <c r="I237" s="4">
        <v>0.57699999999999996</v>
      </c>
      <c r="J237" s="4" t="s">
        <v>1408</v>
      </c>
      <c r="K237" s="4">
        <v>3.8405580000000001</v>
      </c>
      <c r="L237" s="4">
        <v>31.533293</v>
      </c>
      <c r="N237" s="5">
        <v>84431.375</v>
      </c>
      <c r="O237" s="5">
        <v>-98678</v>
      </c>
      <c r="P237" s="6">
        <v>-0.85562511400717489</v>
      </c>
      <c r="Q237" s="1"/>
      <c r="R237" s="7" t="e">
        <f ca="1">_xll.SNL.Clients.Office.Excel.Functions.SPG(A237, "SP_TOTAL_DEBT", "LTM")</f>
        <v>#NAME?</v>
      </c>
      <c r="S237" s="8" t="e">
        <f ca="1">_xll.SNL.Clients.Office.Excel.Functions.SPG(A237, "SP_DEBT_TO_EQUITY", "LTM")</f>
        <v>#NAME?</v>
      </c>
      <c r="U237" s="9" t="e">
        <f t="shared" ca="1" si="3"/>
        <v>#NAME?</v>
      </c>
      <c r="Y237" s="1"/>
      <c r="Z237" s="1"/>
      <c r="AA237" s="10"/>
      <c r="AB237" s="1" t="s">
        <v>521</v>
      </c>
      <c r="AC237" s="1" t="s">
        <v>319</v>
      </c>
      <c r="AD237" s="10">
        <v>2792.9387185</v>
      </c>
      <c r="AE237" s="1" t="s">
        <v>25</v>
      </c>
    </row>
    <row r="238" spans="1:31" x14ac:dyDescent="0.2">
      <c r="A238" s="1" t="s">
        <v>522</v>
      </c>
      <c r="B238" s="2" t="s">
        <v>1408</v>
      </c>
      <c r="C238" s="3" t="s">
        <v>1408</v>
      </c>
      <c r="D238" s="2" t="s">
        <v>1408</v>
      </c>
      <c r="E238" s="2">
        <v>8.0639559999999992</v>
      </c>
      <c r="F238" s="4" t="s">
        <v>1408</v>
      </c>
      <c r="G238" s="4">
        <v>16.6738151527505</v>
      </c>
      <c r="H238" s="2" t="s">
        <v>1408</v>
      </c>
      <c r="I238" s="4" t="s">
        <v>1408</v>
      </c>
      <c r="J238" s="4">
        <v>47.158763717901401</v>
      </c>
      <c r="K238" s="4">
        <v>1.319456</v>
      </c>
      <c r="L238" s="4" t="s">
        <v>1408</v>
      </c>
      <c r="N238" s="5" t="s">
        <v>1408</v>
      </c>
      <c r="O238" s="5">
        <v>417409</v>
      </c>
      <c r="P238" s="6" t="e">
        <v>#VALUE!</v>
      </c>
      <c r="Q238" s="1"/>
      <c r="R238" s="7" t="e">
        <f ca="1">_xll.SNL.Clients.Office.Excel.Functions.SPG(A238, "SP_TOTAL_DEBT", "LTM")</f>
        <v>#NAME?</v>
      </c>
      <c r="S238" s="8" t="e">
        <f ca="1">_xll.SNL.Clients.Office.Excel.Functions.SPG(A238, "SP_DEBT_TO_EQUITY", "LTM")</f>
        <v>#NAME?</v>
      </c>
      <c r="U238" s="9" t="e">
        <f t="shared" ca="1" si="3"/>
        <v>#VALUE!</v>
      </c>
      <c r="Y238" s="1"/>
      <c r="Z238" s="1"/>
      <c r="AA238" s="10"/>
      <c r="AB238" s="1" t="s">
        <v>523</v>
      </c>
      <c r="AC238" s="1" t="s">
        <v>34</v>
      </c>
      <c r="AD238" s="10">
        <v>2631.0715590668901</v>
      </c>
      <c r="AE238" s="1" t="s">
        <v>25</v>
      </c>
    </row>
    <row r="239" spans="1:31" x14ac:dyDescent="0.2">
      <c r="A239" s="1" t="s">
        <v>524</v>
      </c>
      <c r="B239" s="2">
        <v>5.8920000000000003</v>
      </c>
      <c r="C239" s="3">
        <v>-36.080586080586102</v>
      </c>
      <c r="D239" s="2">
        <v>-27.437999999999999</v>
      </c>
      <c r="E239" s="2">
        <v>9.4080460000000006</v>
      </c>
      <c r="F239" s="4">
        <v>0.22800000000000001</v>
      </c>
      <c r="G239" s="4">
        <v>36.970157230050901</v>
      </c>
      <c r="H239" s="2">
        <v>13.369</v>
      </c>
      <c r="I239" s="4">
        <v>0.04</v>
      </c>
      <c r="J239" s="4" t="s">
        <v>1408</v>
      </c>
      <c r="K239" s="4">
        <v>10.155087</v>
      </c>
      <c r="L239" s="4">
        <v>7.1474130000000002</v>
      </c>
      <c r="N239" s="5" t="s">
        <v>1408</v>
      </c>
      <c r="O239" s="5">
        <v>1643000</v>
      </c>
      <c r="P239" s="6" t="e">
        <v>#VALUE!</v>
      </c>
      <c r="Q239" s="1"/>
      <c r="R239" s="7" t="e">
        <f ca="1">_xll.SNL.Clients.Office.Excel.Functions.SPG(A239, "SP_TOTAL_DEBT", "LTM")</f>
        <v>#NAME?</v>
      </c>
      <c r="S239" s="8" t="e">
        <f ca="1">_xll.SNL.Clients.Office.Excel.Functions.SPG(A239, "SP_DEBT_TO_EQUITY", "LTM")</f>
        <v>#NAME?</v>
      </c>
      <c r="U239" s="9" t="e">
        <f t="shared" ca="1" si="3"/>
        <v>#VALUE!</v>
      </c>
      <c r="Y239" s="1"/>
      <c r="Z239" s="1"/>
      <c r="AA239" s="10"/>
      <c r="AB239" s="1" t="s">
        <v>525</v>
      </c>
      <c r="AC239" s="1" t="s">
        <v>28</v>
      </c>
      <c r="AD239" s="10">
        <v>11065.14356052</v>
      </c>
      <c r="AE239" s="1" t="s">
        <v>25</v>
      </c>
    </row>
    <row r="240" spans="1:31" x14ac:dyDescent="0.2">
      <c r="A240" s="1" t="s">
        <v>526</v>
      </c>
      <c r="B240" s="2" t="s">
        <v>1408</v>
      </c>
      <c r="C240" s="3">
        <v>-85.754985754985796</v>
      </c>
      <c r="D240" s="2">
        <v>-30.204000000000001</v>
      </c>
      <c r="E240" s="2">
        <v>64.44</v>
      </c>
      <c r="F240" s="4">
        <v>0.156</v>
      </c>
      <c r="G240" s="4">
        <v>1.8458499353032101</v>
      </c>
      <c r="H240" s="2" t="s">
        <v>1408</v>
      </c>
      <c r="I240" s="4" t="s">
        <v>1408</v>
      </c>
      <c r="J240" s="4">
        <v>28.166041767034599</v>
      </c>
      <c r="K240" s="4">
        <v>1.0976729999999999</v>
      </c>
      <c r="L240" s="4" t="s">
        <v>1408</v>
      </c>
      <c r="N240" s="5" t="s">
        <v>1408</v>
      </c>
      <c r="O240" s="5">
        <v>7821</v>
      </c>
      <c r="P240" s="6" t="e">
        <v>#VALUE!</v>
      </c>
      <c r="Q240" s="1"/>
      <c r="R240" s="7" t="e">
        <f ca="1">_xll.SNL.Clients.Office.Excel.Functions.SPG(A240, "SP_TOTAL_DEBT", "LTM")</f>
        <v>#NAME?</v>
      </c>
      <c r="S240" s="8" t="e">
        <f ca="1">_xll.SNL.Clients.Office.Excel.Functions.SPG(A240, "SP_DEBT_TO_EQUITY", "LTM")</f>
        <v>#NAME?</v>
      </c>
      <c r="U240" s="9" t="e">
        <f t="shared" ca="1" si="3"/>
        <v>#VALUE!</v>
      </c>
      <c r="Y240" s="1"/>
      <c r="Z240" s="1"/>
      <c r="AA240" s="10"/>
      <c r="AB240" s="1" t="s">
        <v>527</v>
      </c>
      <c r="AC240" s="1" t="s">
        <v>34</v>
      </c>
      <c r="AD240" s="10">
        <v>506.81804534999998</v>
      </c>
      <c r="AE240" s="1" t="s">
        <v>25</v>
      </c>
    </row>
    <row r="241" spans="1:31" x14ac:dyDescent="0.2">
      <c r="A241" s="1" t="s">
        <v>528</v>
      </c>
      <c r="B241" s="2">
        <v>16.562999999999999</v>
      </c>
      <c r="C241" s="3">
        <v>0.25588184935265801</v>
      </c>
      <c r="D241" s="2">
        <v>7.8259999999999996</v>
      </c>
      <c r="E241" s="2">
        <v>45.370153000000002</v>
      </c>
      <c r="F241" s="4">
        <v>13.683999999999999</v>
      </c>
      <c r="G241" s="4">
        <v>22.011756058469199</v>
      </c>
      <c r="H241" s="2">
        <v>1.2829999999999999</v>
      </c>
      <c r="I241" s="4">
        <v>1.379</v>
      </c>
      <c r="J241" s="4" t="s">
        <v>1408</v>
      </c>
      <c r="K241" s="4">
        <v>11.272627</v>
      </c>
      <c r="L241" s="4">
        <v>32.197749000000002</v>
      </c>
      <c r="N241" s="5">
        <v>227786.875</v>
      </c>
      <c r="O241" s="5">
        <v>400623</v>
      </c>
      <c r="P241" s="6">
        <v>0.56858162162432013</v>
      </c>
      <c r="Q241" s="1"/>
      <c r="R241" s="7" t="e">
        <f ca="1">_xll.SNL.Clients.Office.Excel.Functions.SPG(A241, "SP_TOTAL_DEBT", "LTM")</f>
        <v>#NAME?</v>
      </c>
      <c r="S241" s="8" t="e">
        <f ca="1">_xll.SNL.Clients.Office.Excel.Functions.SPG(A241, "SP_DEBT_TO_EQUITY", "LTM")</f>
        <v>#NAME?</v>
      </c>
      <c r="U241" s="9" t="e">
        <f t="shared" ca="1" si="3"/>
        <v>#NAME?</v>
      </c>
      <c r="Y241" s="1"/>
      <c r="Z241" s="1"/>
      <c r="AA241" s="10"/>
      <c r="AB241" s="1" t="s">
        <v>529</v>
      </c>
      <c r="AC241" s="1" t="s">
        <v>95</v>
      </c>
      <c r="AD241" s="10">
        <v>18083.40505044</v>
      </c>
      <c r="AE241" s="1" t="s">
        <v>25</v>
      </c>
    </row>
    <row r="242" spans="1:31" x14ac:dyDescent="0.2">
      <c r="A242" s="1" t="s">
        <v>530</v>
      </c>
      <c r="B242" s="2" t="s">
        <v>1408</v>
      </c>
      <c r="C242" s="3">
        <v>41.498559077809801</v>
      </c>
      <c r="D242" s="2">
        <v>34.930999999999997</v>
      </c>
      <c r="E242" s="2">
        <v>10.042770000000001</v>
      </c>
      <c r="F242" s="4">
        <v>2.7229999999999999</v>
      </c>
      <c r="G242" s="4">
        <v>23.200991152044502</v>
      </c>
      <c r="H242" s="2" t="s">
        <v>1408</v>
      </c>
      <c r="I242" s="4" t="s">
        <v>1408</v>
      </c>
      <c r="J242" s="4">
        <v>47.3641917250322</v>
      </c>
      <c r="K242" s="4">
        <v>1.9383619999999999</v>
      </c>
      <c r="L242" s="4" t="s">
        <v>1408</v>
      </c>
      <c r="N242" s="5" t="s">
        <v>1408</v>
      </c>
      <c r="O242" s="5">
        <v>41011</v>
      </c>
      <c r="P242" s="6" t="e">
        <v>#VALUE!</v>
      </c>
      <c r="Q242" s="1"/>
      <c r="R242" s="7" t="e">
        <f ca="1">_xll.SNL.Clients.Office.Excel.Functions.SPG(A242, "SP_TOTAL_DEBT", "LTM")</f>
        <v>#NAME?</v>
      </c>
      <c r="S242" s="8" t="e">
        <f ca="1">_xll.SNL.Clients.Office.Excel.Functions.SPG(A242, "SP_DEBT_TO_EQUITY", "LTM")</f>
        <v>#NAME?</v>
      </c>
      <c r="U242" s="9" t="e">
        <f t="shared" ca="1" si="3"/>
        <v>#VALUE!</v>
      </c>
      <c r="Y242" s="1"/>
      <c r="Z242" s="1"/>
      <c r="AA242" s="10"/>
      <c r="AB242" s="1" t="s">
        <v>531</v>
      </c>
      <c r="AC242" s="1" t="s">
        <v>34</v>
      </c>
      <c r="AD242" s="10">
        <v>389.16343277999999</v>
      </c>
      <c r="AE242" s="1" t="s">
        <v>25</v>
      </c>
    </row>
    <row r="243" spans="1:31" x14ac:dyDescent="0.2">
      <c r="A243" s="1" t="s">
        <v>532</v>
      </c>
      <c r="B243" s="2">
        <v>13.122</v>
      </c>
      <c r="C243" s="3">
        <v>26.3502454991817</v>
      </c>
      <c r="D243" s="2">
        <v>-2.6920000000000002</v>
      </c>
      <c r="E243" s="2">
        <v>8.6496469999999999</v>
      </c>
      <c r="F243" s="4">
        <v>8.8580000000000005</v>
      </c>
      <c r="G243" s="4">
        <v>19.412249479838099</v>
      </c>
      <c r="H243" s="2">
        <v>2.653</v>
      </c>
      <c r="I243" s="4">
        <v>0.17699999999999999</v>
      </c>
      <c r="J243" s="4" t="s">
        <v>1408</v>
      </c>
      <c r="K243" s="4">
        <v>1.1975899999999999</v>
      </c>
      <c r="L243" s="4">
        <v>7.2905730000000002</v>
      </c>
      <c r="N243" s="5">
        <v>72079.375</v>
      </c>
      <c r="O243" s="5">
        <v>668385</v>
      </c>
      <c r="P243" s="6">
        <v>0.10784110205944179</v>
      </c>
      <c r="Q243" s="1"/>
      <c r="R243" s="7" t="e">
        <f ca="1">_xll.SNL.Clients.Office.Excel.Functions.SPG(A243, "SP_TOTAL_DEBT", "LTM")</f>
        <v>#NAME?</v>
      </c>
      <c r="S243" s="8" t="e">
        <f ca="1">_xll.SNL.Clients.Office.Excel.Functions.SPG(A243, "SP_DEBT_TO_EQUITY", "LTM")</f>
        <v>#NAME?</v>
      </c>
      <c r="U243" s="9" t="e">
        <f t="shared" ca="1" si="3"/>
        <v>#NAME?</v>
      </c>
      <c r="Y243" s="1"/>
      <c r="Z243" s="1"/>
      <c r="AA243" s="10"/>
      <c r="AB243" s="1" t="s">
        <v>533</v>
      </c>
      <c r="AC243" s="1" t="s">
        <v>509</v>
      </c>
      <c r="AD243" s="10">
        <v>5888.8801658399998</v>
      </c>
      <c r="AE243" s="1" t="s">
        <v>25</v>
      </c>
    </row>
    <row r="244" spans="1:31" x14ac:dyDescent="0.2">
      <c r="A244" s="1" t="s">
        <v>534</v>
      </c>
      <c r="B244" s="2" t="s">
        <v>1408</v>
      </c>
      <c r="C244" s="3">
        <v>24.716553287981899</v>
      </c>
      <c r="D244" s="2" t="s">
        <v>1408</v>
      </c>
      <c r="E244" s="2" t="s">
        <v>1408</v>
      </c>
      <c r="F244" s="4" t="s">
        <v>1408</v>
      </c>
      <c r="G244" s="4">
        <v>22.1691106557873</v>
      </c>
      <c r="H244" s="2" t="s">
        <v>1408</v>
      </c>
      <c r="I244" s="4" t="s">
        <v>1408</v>
      </c>
      <c r="J244" s="4" t="s">
        <v>1408</v>
      </c>
      <c r="K244" s="4" t="s">
        <v>1408</v>
      </c>
      <c r="L244" s="4" t="s">
        <v>1408</v>
      </c>
      <c r="N244" s="5" t="s">
        <v>1408</v>
      </c>
      <c r="O244" s="5">
        <v>279500</v>
      </c>
      <c r="P244" s="6" t="e">
        <v>#VALUE!</v>
      </c>
      <c r="Q244" s="1"/>
      <c r="R244" s="7" t="e">
        <f ca="1">_xll.SNL.Clients.Office.Excel.Functions.SPG(A244, "SP_TOTAL_DEBT", "LTM")</f>
        <v>#NAME?</v>
      </c>
      <c r="S244" s="8" t="e">
        <f ca="1">_xll.SNL.Clients.Office.Excel.Functions.SPG(A244, "SP_DEBT_TO_EQUITY", "LTM")</f>
        <v>#NAME?</v>
      </c>
      <c r="U244" s="9" t="e">
        <f t="shared" ca="1" si="3"/>
        <v>#VALUE!</v>
      </c>
      <c r="Y244" s="1"/>
      <c r="Z244" s="1"/>
      <c r="AA244" s="10"/>
      <c r="AB244" s="1" t="s">
        <v>535</v>
      </c>
      <c r="AC244" s="1" t="s">
        <v>31</v>
      </c>
      <c r="AD244" s="10">
        <v>4596.0009977500004</v>
      </c>
      <c r="AE244" s="1" t="s">
        <v>25</v>
      </c>
    </row>
    <row r="245" spans="1:31" x14ac:dyDescent="0.2">
      <c r="A245" s="1" t="s">
        <v>536</v>
      </c>
      <c r="B245" s="2" t="s">
        <v>1408</v>
      </c>
      <c r="C245" s="3">
        <v>-45.133505598621902</v>
      </c>
      <c r="D245" s="2">
        <v>-12.169</v>
      </c>
      <c r="E245" s="2">
        <v>27.254317</v>
      </c>
      <c r="F245" s="4" t="s">
        <v>1408</v>
      </c>
      <c r="G245" s="4" t="s">
        <v>1408</v>
      </c>
      <c r="H245" s="2" t="s">
        <v>1408</v>
      </c>
      <c r="I245" s="4" t="s">
        <v>1408</v>
      </c>
      <c r="J245" s="4" t="s">
        <v>1408</v>
      </c>
      <c r="K245" s="4">
        <v>4.5005829999999998</v>
      </c>
      <c r="L245" s="4" t="s">
        <v>1408</v>
      </c>
      <c r="N245" s="5" t="s">
        <v>1408</v>
      </c>
      <c r="O245" s="5">
        <v>636052</v>
      </c>
      <c r="P245" s="6" t="e">
        <v>#VALUE!</v>
      </c>
      <c r="Q245" s="1"/>
      <c r="R245" s="7" t="e">
        <f ca="1">_xll.SNL.Clients.Office.Excel.Functions.SPG(A245, "SP_TOTAL_DEBT", "LTM")</f>
        <v>#NAME?</v>
      </c>
      <c r="S245" s="8" t="e">
        <f ca="1">_xll.SNL.Clients.Office.Excel.Functions.SPG(A245, "SP_DEBT_TO_EQUITY", "LTM")</f>
        <v>#NAME?</v>
      </c>
      <c r="U245" s="9" t="e">
        <f t="shared" ca="1" si="3"/>
        <v>#VALUE!</v>
      </c>
      <c r="Y245" s="1"/>
      <c r="Z245" s="1"/>
      <c r="AA245" s="10"/>
      <c r="AB245" s="1" t="s">
        <v>537</v>
      </c>
      <c r="AC245" s="1" t="s">
        <v>174</v>
      </c>
      <c r="AD245" s="10">
        <v>6469.5107895600004</v>
      </c>
      <c r="AE245" s="1" t="s">
        <v>25</v>
      </c>
    </row>
    <row r="246" spans="1:31" x14ac:dyDescent="0.2">
      <c r="A246" s="1" t="s">
        <v>538</v>
      </c>
      <c r="B246" s="2">
        <v>3.95</v>
      </c>
      <c r="C246" s="3">
        <v>-56.123627960716398</v>
      </c>
      <c r="D246" s="2">
        <v>2.8109999999999999</v>
      </c>
      <c r="E246" s="2">
        <v>7.0647960000000003</v>
      </c>
      <c r="F246" s="4">
        <v>3.7690000000000001</v>
      </c>
      <c r="G246" s="4">
        <v>6.7611213438663</v>
      </c>
      <c r="H246" s="2">
        <v>1.637</v>
      </c>
      <c r="I246" s="4">
        <v>0.33500000000000002</v>
      </c>
      <c r="J246" s="4" t="s">
        <v>1408</v>
      </c>
      <c r="K246" s="4">
        <v>1.4715229999999999</v>
      </c>
      <c r="L246" s="4">
        <v>6.9267529999999997</v>
      </c>
      <c r="N246" s="5">
        <v>232812.5</v>
      </c>
      <c r="O246" s="5">
        <v>2209000</v>
      </c>
      <c r="P246" s="6">
        <v>0.10539271163422363</v>
      </c>
      <c r="Q246" s="1"/>
      <c r="R246" s="7" t="e">
        <f ca="1">_xll.SNL.Clients.Office.Excel.Functions.SPG(A246, "SP_TOTAL_DEBT", "LTM")</f>
        <v>#NAME?</v>
      </c>
      <c r="S246" s="8" t="e">
        <f ca="1">_xll.SNL.Clients.Office.Excel.Functions.SPG(A246, "SP_DEBT_TO_EQUITY", "LTM")</f>
        <v>#NAME?</v>
      </c>
      <c r="U246" s="9" t="e">
        <f t="shared" ca="1" si="3"/>
        <v>#NAME?</v>
      </c>
      <c r="Y246" s="1"/>
      <c r="Z246" s="1"/>
      <c r="AA246" s="10"/>
      <c r="AB246" s="1" t="s">
        <v>539</v>
      </c>
      <c r="AC246" s="1" t="s">
        <v>324</v>
      </c>
      <c r="AD246" s="10">
        <v>16704.011527279999</v>
      </c>
      <c r="AE246" s="1" t="s">
        <v>25</v>
      </c>
    </row>
    <row r="247" spans="1:31" x14ac:dyDescent="0.2">
      <c r="A247" s="1" t="s">
        <v>540</v>
      </c>
      <c r="B247" s="2">
        <v>-17.442</v>
      </c>
      <c r="C247" s="3" t="s">
        <v>1408</v>
      </c>
      <c r="D247" s="2">
        <v>-3.4380000000000002</v>
      </c>
      <c r="E247" s="2" t="s">
        <v>1409</v>
      </c>
      <c r="F247" s="4">
        <v>-13.997</v>
      </c>
      <c r="G247" s="4" t="s">
        <v>1408</v>
      </c>
      <c r="H247" s="2">
        <v>2.1909999999999998</v>
      </c>
      <c r="I247" s="4">
        <v>2.3069999999999999</v>
      </c>
      <c r="J247" s="4" t="s">
        <v>1408</v>
      </c>
      <c r="K247" s="4">
        <v>5.471387</v>
      </c>
      <c r="L247" s="4" t="s">
        <v>1409</v>
      </c>
      <c r="N247" s="5">
        <v>14205.875</v>
      </c>
      <c r="O247" s="5">
        <v>-53433</v>
      </c>
      <c r="P247" s="6">
        <v>-0.26586332416297043</v>
      </c>
      <c r="Q247" s="1"/>
      <c r="R247" s="7" t="e">
        <f ca="1">_xll.SNL.Clients.Office.Excel.Functions.SPG(A247, "SP_TOTAL_DEBT", "LTM")</f>
        <v>#NAME?</v>
      </c>
      <c r="S247" s="8" t="e">
        <f ca="1">_xll.SNL.Clients.Office.Excel.Functions.SPG(A247, "SP_DEBT_TO_EQUITY", "LTM")</f>
        <v>#NAME?</v>
      </c>
      <c r="U247" s="9" t="e">
        <f t="shared" ca="1" si="3"/>
        <v>#NAME?</v>
      </c>
      <c r="Y247" s="1"/>
      <c r="Z247" s="1"/>
      <c r="AA247" s="10"/>
      <c r="AB247" s="1" t="s">
        <v>541</v>
      </c>
      <c r="AC247" s="1" t="s">
        <v>448</v>
      </c>
      <c r="AD247" s="10">
        <v>425.78204217000001</v>
      </c>
      <c r="AE247" s="1" t="s">
        <v>25</v>
      </c>
    </row>
    <row r="248" spans="1:31" x14ac:dyDescent="0.2">
      <c r="A248" s="1" t="s">
        <v>542</v>
      </c>
      <c r="B248" s="2">
        <v>10.67</v>
      </c>
      <c r="C248" s="3">
        <v>56.108597285067901</v>
      </c>
      <c r="D248" s="2">
        <v>4.851</v>
      </c>
      <c r="E248" s="2">
        <v>27.200811000000002</v>
      </c>
      <c r="F248" s="4">
        <v>8.2880000000000003</v>
      </c>
      <c r="G248" s="4">
        <v>49.365542554114903</v>
      </c>
      <c r="H248" s="2">
        <v>1.6180000000000001</v>
      </c>
      <c r="I248" s="4">
        <v>0.56499999999999995</v>
      </c>
      <c r="J248" s="4" t="s">
        <v>1408</v>
      </c>
      <c r="K248" s="4">
        <v>4.8834669999999996</v>
      </c>
      <c r="L248" s="4">
        <v>12.435003</v>
      </c>
      <c r="N248" s="5">
        <v>152548.875</v>
      </c>
      <c r="O248" s="5">
        <v>96777</v>
      </c>
      <c r="P248" s="6">
        <v>1.5762926625127871</v>
      </c>
      <c r="Q248" s="1"/>
      <c r="R248" s="7" t="e">
        <f ca="1">_xll.SNL.Clients.Office.Excel.Functions.SPG(A248, "SP_TOTAL_DEBT", "LTM")</f>
        <v>#NAME?</v>
      </c>
      <c r="S248" s="8" t="e">
        <f ca="1">_xll.SNL.Clients.Office.Excel.Functions.SPG(A248, "SP_DEBT_TO_EQUITY", "LTM")</f>
        <v>#NAME?</v>
      </c>
      <c r="U248" s="9" t="e">
        <f t="shared" ca="1" si="3"/>
        <v>#NAME?</v>
      </c>
      <c r="Y248" s="1"/>
      <c r="Z248" s="1"/>
      <c r="AA248" s="10"/>
      <c r="AB248" s="1" t="s">
        <v>543</v>
      </c>
      <c r="AC248" s="1" t="s">
        <v>57</v>
      </c>
      <c r="AD248" s="10">
        <v>2595.57782752</v>
      </c>
      <c r="AE248" s="1" t="s">
        <v>25</v>
      </c>
    </row>
    <row r="249" spans="1:31" x14ac:dyDescent="0.2">
      <c r="A249" s="1" t="s">
        <v>544</v>
      </c>
      <c r="B249" s="2">
        <v>11.323</v>
      </c>
      <c r="C249" s="3">
        <v>26.268656716417901</v>
      </c>
      <c r="D249" s="2">
        <v>25.818000000000001</v>
      </c>
      <c r="E249" s="2">
        <v>29.588909999999998</v>
      </c>
      <c r="F249" s="4">
        <v>10.798</v>
      </c>
      <c r="G249" s="4">
        <v>20.306184244235801</v>
      </c>
      <c r="H249" s="2">
        <v>2.1280000000000001</v>
      </c>
      <c r="I249" s="4">
        <v>1.17</v>
      </c>
      <c r="J249" s="4" t="s">
        <v>1408</v>
      </c>
      <c r="K249" s="4">
        <v>5.9691419999999997</v>
      </c>
      <c r="L249" s="4">
        <v>16.809908</v>
      </c>
      <c r="N249" s="5">
        <v>168662.125</v>
      </c>
      <c r="O249" s="5">
        <v>176124</v>
      </c>
      <c r="P249" s="6">
        <v>0.95763283254979448</v>
      </c>
      <c r="Q249" s="1"/>
      <c r="R249" s="7" t="e">
        <f ca="1">_xll.SNL.Clients.Office.Excel.Functions.SPG(A249, "SP_TOTAL_DEBT", "LTM")</f>
        <v>#NAME?</v>
      </c>
      <c r="S249" s="8" t="e">
        <f ca="1">_xll.SNL.Clients.Office.Excel.Functions.SPG(A249, "SP_DEBT_TO_EQUITY", "LTM")</f>
        <v>#NAME?</v>
      </c>
      <c r="U249" s="9" t="e">
        <f t="shared" ca="1" si="3"/>
        <v>#NAME?</v>
      </c>
      <c r="Y249" s="1"/>
      <c r="Z249" s="1"/>
      <c r="AA249" s="10"/>
      <c r="AB249" s="1" t="s">
        <v>545</v>
      </c>
      <c r="AC249" s="1" t="s">
        <v>156</v>
      </c>
      <c r="AD249" s="10">
        <v>5158.78415176</v>
      </c>
      <c r="AE249" s="1" t="s">
        <v>25</v>
      </c>
    </row>
    <row r="250" spans="1:31" x14ac:dyDescent="0.2">
      <c r="A250" s="1" t="s">
        <v>546</v>
      </c>
      <c r="B250" s="2">
        <v>4.6550000000000002</v>
      </c>
      <c r="C250" s="3">
        <v>-24.285714285714299</v>
      </c>
      <c r="D250" s="2">
        <v>18.372</v>
      </c>
      <c r="E250" s="2">
        <v>15.590062</v>
      </c>
      <c r="F250" s="4">
        <v>4.5679999999999996</v>
      </c>
      <c r="G250" s="4">
        <v>5.3495792455018103</v>
      </c>
      <c r="H250" s="2">
        <v>3.9950000000000001</v>
      </c>
      <c r="I250" s="4">
        <v>0.752</v>
      </c>
      <c r="J250" s="4">
        <v>6.0906049522896604</v>
      </c>
      <c r="K250" s="4">
        <v>0.71576200000000001</v>
      </c>
      <c r="L250" s="4">
        <v>4.6833720000000003</v>
      </c>
      <c r="N250" s="5">
        <v>81856.125</v>
      </c>
      <c r="O250" s="5">
        <v>50155</v>
      </c>
      <c r="P250" s="6">
        <v>1.6320631043764331</v>
      </c>
      <c r="Q250" s="1"/>
      <c r="R250" s="7" t="e">
        <f ca="1">_xll.SNL.Clients.Office.Excel.Functions.SPG(A250, "SP_TOTAL_DEBT", "LTM")</f>
        <v>#NAME?</v>
      </c>
      <c r="S250" s="8" t="e">
        <f ca="1">_xll.SNL.Clients.Office.Excel.Functions.SPG(A250, "SP_DEBT_TO_EQUITY", "LTM")</f>
        <v>#NAME?</v>
      </c>
      <c r="U250" s="9" t="e">
        <f t="shared" ca="1" si="3"/>
        <v>#NAME?</v>
      </c>
      <c r="Y250" s="1"/>
      <c r="Z250" s="1"/>
      <c r="AA250" s="10"/>
      <c r="AB250" s="1" t="s">
        <v>547</v>
      </c>
      <c r="AC250" s="1" t="s">
        <v>161</v>
      </c>
      <c r="AD250" s="10">
        <v>474.32397859999998</v>
      </c>
      <c r="AE250" s="1" t="s">
        <v>25</v>
      </c>
    </row>
    <row r="251" spans="1:31" x14ac:dyDescent="0.2">
      <c r="A251" s="1" t="s">
        <v>548</v>
      </c>
      <c r="B251" s="2">
        <v>9.3089999999999993</v>
      </c>
      <c r="C251" s="3" t="s">
        <v>1408</v>
      </c>
      <c r="D251" s="2">
        <v>-40.020000000000003</v>
      </c>
      <c r="E251" s="2" t="s">
        <v>1409</v>
      </c>
      <c r="F251" s="4">
        <v>-5.3999999999999999E-2</v>
      </c>
      <c r="G251" s="4">
        <v>19.566305896853201</v>
      </c>
      <c r="H251" s="2">
        <v>0.95599999999999996</v>
      </c>
      <c r="I251" s="4">
        <v>6.2E-2</v>
      </c>
      <c r="J251" s="4" t="s">
        <v>1408</v>
      </c>
      <c r="K251" s="4">
        <v>2.363896</v>
      </c>
      <c r="L251" s="4" t="s">
        <v>1409</v>
      </c>
      <c r="N251" s="5">
        <v>1241750</v>
      </c>
      <c r="O251" s="5">
        <v>65000</v>
      </c>
      <c r="P251" s="6">
        <v>19.103846153846153</v>
      </c>
      <c r="Q251" s="1"/>
      <c r="R251" s="7" t="e">
        <f ca="1">_xll.SNL.Clients.Office.Excel.Functions.SPG(A251, "SP_TOTAL_DEBT", "LTM")</f>
        <v>#NAME?</v>
      </c>
      <c r="S251" s="8" t="e">
        <f ca="1">_xll.SNL.Clients.Office.Excel.Functions.SPG(A251, "SP_DEBT_TO_EQUITY", "LTM")</f>
        <v>#NAME?</v>
      </c>
      <c r="U251" s="9" t="e">
        <f t="shared" ca="1" si="3"/>
        <v>#NAME?</v>
      </c>
      <c r="Y251" s="1"/>
      <c r="Z251" s="1"/>
      <c r="AA251" s="10"/>
      <c r="AB251" s="1" t="s">
        <v>549</v>
      </c>
      <c r="AC251" s="1" t="s">
        <v>60</v>
      </c>
      <c r="AD251" s="10">
        <v>5627.2740457999998</v>
      </c>
      <c r="AE251" s="1" t="s">
        <v>25</v>
      </c>
    </row>
    <row r="252" spans="1:31" x14ac:dyDescent="0.2">
      <c r="A252" s="1" t="s">
        <v>550</v>
      </c>
      <c r="B252" s="2" t="s">
        <v>1408</v>
      </c>
      <c r="C252" s="3">
        <v>7.3770491803278704</v>
      </c>
      <c r="D252" s="2">
        <v>8.9049999999999994</v>
      </c>
      <c r="E252" s="2">
        <v>9.8167939999999998</v>
      </c>
      <c r="F252" s="4">
        <v>1.079</v>
      </c>
      <c r="G252" s="4">
        <v>8.2865186302294198</v>
      </c>
      <c r="H252" s="2" t="s">
        <v>1408</v>
      </c>
      <c r="I252" s="4" t="s">
        <v>1408</v>
      </c>
      <c r="J252" s="4">
        <v>42.7230465345108</v>
      </c>
      <c r="K252" s="4">
        <v>0.77647600000000006</v>
      </c>
      <c r="L252" s="4" t="s">
        <v>1408</v>
      </c>
      <c r="N252" s="5" t="s">
        <v>1408</v>
      </c>
      <c r="O252" s="5">
        <v>484851</v>
      </c>
      <c r="P252" s="6" t="e">
        <v>#VALUE!</v>
      </c>
      <c r="Q252" s="1"/>
      <c r="R252" s="7" t="e">
        <f ca="1">_xll.SNL.Clients.Office.Excel.Functions.SPG(A252, "SP_TOTAL_DEBT", "LTM")</f>
        <v>#NAME?</v>
      </c>
      <c r="S252" s="8" t="e">
        <f ca="1">_xll.SNL.Clients.Office.Excel.Functions.SPG(A252, "SP_DEBT_TO_EQUITY", "LTM")</f>
        <v>#NAME?</v>
      </c>
      <c r="U252" s="9" t="e">
        <f t="shared" ca="1" si="3"/>
        <v>#VALUE!</v>
      </c>
      <c r="Y252" s="1"/>
      <c r="Z252" s="1"/>
      <c r="AA252" s="10"/>
      <c r="AB252" s="1" t="s">
        <v>551</v>
      </c>
      <c r="AC252" s="1" t="s">
        <v>34</v>
      </c>
      <c r="AD252" s="10">
        <v>4729.3717160599999</v>
      </c>
      <c r="AE252" s="1" t="s">
        <v>25</v>
      </c>
    </row>
    <row r="253" spans="1:31" x14ac:dyDescent="0.2">
      <c r="A253" s="1" t="s">
        <v>552</v>
      </c>
      <c r="B253" s="2">
        <v>11.68</v>
      </c>
      <c r="C253" s="3">
        <v>17.4634146341463</v>
      </c>
      <c r="D253" s="2">
        <v>13.103999999999999</v>
      </c>
      <c r="E253" s="2">
        <v>38.641036</v>
      </c>
      <c r="F253" s="4">
        <v>10.608000000000001</v>
      </c>
      <c r="G253" s="4">
        <v>30.079617281935899</v>
      </c>
      <c r="H253" s="2">
        <v>1.68</v>
      </c>
      <c r="I253" s="4">
        <v>0.53500000000000003</v>
      </c>
      <c r="J253" s="4" t="s">
        <v>1408</v>
      </c>
      <c r="K253" s="4">
        <v>10.683659</v>
      </c>
      <c r="L253" s="4">
        <v>23.523752000000002</v>
      </c>
      <c r="N253" s="5">
        <v>660654.5</v>
      </c>
      <c r="O253" s="5">
        <v>479930</v>
      </c>
      <c r="P253" s="6">
        <v>1.3765642906257163</v>
      </c>
      <c r="Q253" s="1"/>
      <c r="R253" s="7" t="e">
        <f ca="1">_xll.SNL.Clients.Office.Excel.Functions.SPG(A253, "SP_TOTAL_DEBT", "LTM")</f>
        <v>#NAME?</v>
      </c>
      <c r="S253" s="8" t="e">
        <f ca="1">_xll.SNL.Clients.Office.Excel.Functions.SPG(A253, "SP_DEBT_TO_EQUITY", "LTM")</f>
        <v>#NAME?</v>
      </c>
      <c r="U253" s="9" t="e">
        <f t="shared" ca="1" si="3"/>
        <v>#NAME?</v>
      </c>
      <c r="Y253" s="1"/>
      <c r="Z253" s="1"/>
      <c r="AA253" s="10"/>
      <c r="AB253" s="1" t="s">
        <v>553</v>
      </c>
      <c r="AC253" s="1" t="s">
        <v>156</v>
      </c>
      <c r="AD253" s="10">
        <v>18126.073776959998</v>
      </c>
      <c r="AE253" s="1" t="s">
        <v>25</v>
      </c>
    </row>
    <row r="254" spans="1:31" x14ac:dyDescent="0.2">
      <c r="A254" s="1" t="s">
        <v>554</v>
      </c>
      <c r="B254" s="2">
        <v>2.246</v>
      </c>
      <c r="C254" s="3">
        <v>-64.425357873210601</v>
      </c>
      <c r="D254" s="2">
        <v>2.39</v>
      </c>
      <c r="E254" s="2">
        <v>8.3953699999999998</v>
      </c>
      <c r="F254" s="4">
        <v>2.3119999999999998</v>
      </c>
      <c r="G254" s="4">
        <v>6.4051009849933296</v>
      </c>
      <c r="H254" s="2">
        <v>3.2210000000000001</v>
      </c>
      <c r="I254" s="4">
        <v>0.34699999999999998</v>
      </c>
      <c r="J254" s="4" t="s">
        <v>1408</v>
      </c>
      <c r="K254" s="4" t="s">
        <v>1408</v>
      </c>
      <c r="L254" s="4">
        <v>9.3688310000000001</v>
      </c>
      <c r="N254" s="5">
        <v>2407862.5</v>
      </c>
      <c r="O254" s="5">
        <v>5523000</v>
      </c>
      <c r="P254" s="6">
        <v>0.43597003440159332</v>
      </c>
      <c r="Q254" s="1"/>
      <c r="R254" s="7" t="e">
        <f ca="1">_xll.SNL.Clients.Office.Excel.Functions.SPG(A254, "SP_TOTAL_DEBT", "LTM")</f>
        <v>#NAME?</v>
      </c>
      <c r="S254" s="8" t="e">
        <f ca="1">_xll.SNL.Clients.Office.Excel.Functions.SPG(A254, "SP_DEBT_TO_EQUITY", "LTM")</f>
        <v>#NAME?</v>
      </c>
      <c r="U254" s="9" t="e">
        <f t="shared" ca="1" si="3"/>
        <v>#NAME?</v>
      </c>
      <c r="Y254" s="1"/>
      <c r="Z254" s="1"/>
      <c r="AA254" s="10"/>
      <c r="AB254" s="1" t="s">
        <v>555</v>
      </c>
      <c r="AC254" s="1" t="s">
        <v>95</v>
      </c>
      <c r="AD254" s="10">
        <v>26178.109133875001</v>
      </c>
      <c r="AE254" s="1" t="s">
        <v>25</v>
      </c>
    </row>
    <row r="255" spans="1:31" x14ac:dyDescent="0.2">
      <c r="A255" s="1" t="s">
        <v>556</v>
      </c>
      <c r="B255" s="2">
        <v>5.0510000000000002</v>
      </c>
      <c r="C255" s="3" t="s">
        <v>1408</v>
      </c>
      <c r="D255" s="2">
        <v>-59.250999999999998</v>
      </c>
      <c r="E255" s="2">
        <v>6.4570689999999997</v>
      </c>
      <c r="F255" s="4">
        <v>7.35</v>
      </c>
      <c r="G255" s="4" t="s">
        <v>1408</v>
      </c>
      <c r="H255" s="2">
        <v>1.3620000000000001</v>
      </c>
      <c r="I255" s="4">
        <v>0.14799999999999999</v>
      </c>
      <c r="J255" s="4" t="s">
        <v>1408</v>
      </c>
      <c r="K255" s="4">
        <v>0.71291800000000005</v>
      </c>
      <c r="L255" s="4" t="s">
        <v>1408</v>
      </c>
      <c r="N255" s="5">
        <v>287332.75</v>
      </c>
      <c r="O255" s="5">
        <v>339653</v>
      </c>
      <c r="P255" s="6">
        <v>0.84595970004681253</v>
      </c>
      <c r="Q255" s="1"/>
      <c r="R255" s="7" t="e">
        <f ca="1">_xll.SNL.Clients.Office.Excel.Functions.SPG(A255, "SP_TOTAL_DEBT", "LTM")</f>
        <v>#NAME?</v>
      </c>
      <c r="S255" s="8" t="e">
        <f ca="1">_xll.SNL.Clients.Office.Excel.Functions.SPG(A255, "SP_DEBT_TO_EQUITY", "LTM")</f>
        <v>#NAME?</v>
      </c>
      <c r="U255" s="9" t="e">
        <f t="shared" ca="1" si="3"/>
        <v>#NAME?</v>
      </c>
      <c r="Y255" s="1"/>
      <c r="Z255" s="1"/>
      <c r="AA255" s="10"/>
      <c r="AB255" s="1" t="s">
        <v>557</v>
      </c>
      <c r="AC255" s="1" t="s">
        <v>37</v>
      </c>
      <c r="AD255" s="10">
        <v>2029.8576496799999</v>
      </c>
      <c r="AE255" s="1" t="s">
        <v>25</v>
      </c>
    </row>
    <row r="256" spans="1:31" x14ac:dyDescent="0.2">
      <c r="A256" s="1" t="s">
        <v>558</v>
      </c>
      <c r="B256" s="2" t="s">
        <v>1408</v>
      </c>
      <c r="C256" s="3">
        <v>20.7767995857069</v>
      </c>
      <c r="D256" s="2">
        <v>14.273999999999999</v>
      </c>
      <c r="E256" s="2">
        <v>8.2325700000000008</v>
      </c>
      <c r="F256" s="4">
        <v>1.661</v>
      </c>
      <c r="G256" s="4">
        <v>17.019808649047601</v>
      </c>
      <c r="H256" s="2" t="s">
        <v>1408</v>
      </c>
      <c r="I256" s="4" t="s">
        <v>1408</v>
      </c>
      <c r="J256" s="4">
        <v>51.422360593287301</v>
      </c>
      <c r="K256" s="4">
        <v>1.3106800000000001</v>
      </c>
      <c r="L256" s="4" t="s">
        <v>1408</v>
      </c>
      <c r="N256" s="5" t="s">
        <v>1408</v>
      </c>
      <c r="O256" s="5">
        <v>88314</v>
      </c>
      <c r="P256" s="6" t="e">
        <v>#VALUE!</v>
      </c>
      <c r="Q256" s="1"/>
      <c r="R256" s="7" t="e">
        <f ca="1">_xll.SNL.Clients.Office.Excel.Functions.SPG(A256, "SP_TOTAL_DEBT", "LTM")</f>
        <v>#NAME?</v>
      </c>
      <c r="S256" s="8" t="e">
        <f ca="1">_xll.SNL.Clients.Office.Excel.Functions.SPG(A256, "SP_DEBT_TO_EQUITY", "LTM")</f>
        <v>#NAME?</v>
      </c>
      <c r="U256" s="9" t="e">
        <f t="shared" ca="1" si="3"/>
        <v>#VALUE!</v>
      </c>
      <c r="Y256" s="1"/>
      <c r="Z256" s="1"/>
      <c r="AA256" s="10"/>
      <c r="AB256" s="1" t="s">
        <v>559</v>
      </c>
      <c r="AC256" s="1" t="s">
        <v>34</v>
      </c>
      <c r="AD256" s="10">
        <v>728.99875799999995</v>
      </c>
      <c r="AE256" s="1" t="s">
        <v>25</v>
      </c>
    </row>
    <row r="257" spans="1:31" x14ac:dyDescent="0.2">
      <c r="A257" s="1" t="s">
        <v>560</v>
      </c>
      <c r="B257" s="2" t="s">
        <v>1408</v>
      </c>
      <c r="C257" s="3">
        <v>22.388059701492502</v>
      </c>
      <c r="D257" s="2">
        <v>16.806999999999999</v>
      </c>
      <c r="E257" s="2">
        <v>12.404709</v>
      </c>
      <c r="F257" s="4">
        <v>0.81200000000000006</v>
      </c>
      <c r="G257" s="4">
        <v>11.2951074798171</v>
      </c>
      <c r="H257" s="2" t="s">
        <v>1408</v>
      </c>
      <c r="I257" s="4" t="s">
        <v>1408</v>
      </c>
      <c r="J257" s="4">
        <v>33.616369297681999</v>
      </c>
      <c r="K257" s="4">
        <v>0.98807900000000004</v>
      </c>
      <c r="L257" s="4" t="s">
        <v>1408</v>
      </c>
      <c r="N257" s="5" t="s">
        <v>1408</v>
      </c>
      <c r="O257" s="5">
        <v>24432</v>
      </c>
      <c r="P257" s="6" t="e">
        <v>#VALUE!</v>
      </c>
      <c r="Q257" s="1"/>
      <c r="R257" s="7" t="e">
        <f ca="1">_xll.SNL.Clients.Office.Excel.Functions.SPG(A257, "SP_TOTAL_DEBT", "LTM")</f>
        <v>#NAME?</v>
      </c>
      <c r="S257" s="8" t="e">
        <f ca="1">_xll.SNL.Clients.Office.Excel.Functions.SPG(A257, "SP_DEBT_TO_EQUITY", "LTM")</f>
        <v>#NAME?</v>
      </c>
      <c r="U257" s="9" t="e">
        <f t="shared" ca="1" si="3"/>
        <v>#VALUE!</v>
      </c>
      <c r="Y257" s="1"/>
      <c r="Z257" s="1"/>
      <c r="AA257" s="10"/>
      <c r="AB257" s="1" t="s">
        <v>561</v>
      </c>
      <c r="AC257" s="1" t="s">
        <v>34</v>
      </c>
      <c r="AD257" s="10">
        <v>305.94139799999999</v>
      </c>
      <c r="AE257" s="1" t="s">
        <v>25</v>
      </c>
    </row>
    <row r="258" spans="1:31" x14ac:dyDescent="0.2">
      <c r="A258" s="1" t="s">
        <v>562</v>
      </c>
      <c r="B258" s="2" t="s">
        <v>1408</v>
      </c>
      <c r="C258" s="3">
        <v>-35.271634952545703</v>
      </c>
      <c r="D258" s="2">
        <v>-12.638</v>
      </c>
      <c r="E258" s="2">
        <v>9.3356689999999993</v>
      </c>
      <c r="F258" s="4">
        <v>0.58099999999999996</v>
      </c>
      <c r="G258" s="4">
        <v>5.2798657087308296</v>
      </c>
      <c r="H258" s="2" t="s">
        <v>1408</v>
      </c>
      <c r="I258" s="4" t="s">
        <v>1408</v>
      </c>
      <c r="J258" s="4">
        <v>29.3122014918698</v>
      </c>
      <c r="K258" s="4">
        <v>0.471057</v>
      </c>
      <c r="L258" s="4" t="s">
        <v>1408</v>
      </c>
      <c r="N258" s="5" t="s">
        <v>1408</v>
      </c>
      <c r="O258" s="5">
        <v>70007</v>
      </c>
      <c r="P258" s="6" t="e">
        <v>#VALUE!</v>
      </c>
      <c r="Q258" s="1"/>
      <c r="R258" s="7" t="e">
        <f ca="1">_xll.SNL.Clients.Office.Excel.Functions.SPG(A258, "SP_TOTAL_DEBT", "LTM")</f>
        <v>#NAME?</v>
      </c>
      <c r="S258" s="8" t="e">
        <f ca="1">_xll.SNL.Clients.Office.Excel.Functions.SPG(A258, "SP_DEBT_TO_EQUITY", "LTM")</f>
        <v>#NAME?</v>
      </c>
      <c r="U258" s="9" t="e">
        <f t="shared" ca="1" si="3"/>
        <v>#VALUE!</v>
      </c>
      <c r="Y258" s="1"/>
      <c r="Z258" s="1"/>
      <c r="AA258" s="10"/>
      <c r="AB258" s="1" t="s">
        <v>563</v>
      </c>
      <c r="AC258" s="1" t="s">
        <v>34</v>
      </c>
      <c r="AD258" s="10">
        <v>635.37660000000005</v>
      </c>
      <c r="AE258" s="1" t="s">
        <v>25</v>
      </c>
    </row>
    <row r="259" spans="1:31" x14ac:dyDescent="0.2">
      <c r="A259" s="1" t="s">
        <v>564</v>
      </c>
      <c r="B259" s="2" t="s">
        <v>1408</v>
      </c>
      <c r="C259" s="3">
        <v>-25.698324022346402</v>
      </c>
      <c r="D259" s="2">
        <v>7.3159999999999998</v>
      </c>
      <c r="E259" s="2">
        <v>10.263158000000001</v>
      </c>
      <c r="F259" s="4">
        <v>1.0900000000000001</v>
      </c>
      <c r="G259" s="4">
        <v>13.9684777682663</v>
      </c>
      <c r="H259" s="2" t="s">
        <v>1408</v>
      </c>
      <c r="I259" s="4" t="s">
        <v>1408</v>
      </c>
      <c r="J259" s="4">
        <v>36.325630975249602</v>
      </c>
      <c r="K259" s="4">
        <v>1.2657639999999999</v>
      </c>
      <c r="L259" s="4" t="s">
        <v>1408</v>
      </c>
      <c r="N259" s="5" t="s">
        <v>1408</v>
      </c>
      <c r="O259" s="5">
        <v>49932</v>
      </c>
      <c r="P259" s="6" t="e">
        <v>#VALUE!</v>
      </c>
      <c r="Q259" s="1"/>
      <c r="R259" s="7" t="e">
        <f ca="1">_xll.SNL.Clients.Office.Excel.Functions.SPG(A259, "SP_TOTAL_DEBT", "LTM")</f>
        <v>#NAME?</v>
      </c>
      <c r="S259" s="8" t="e">
        <f ca="1">_xll.SNL.Clients.Office.Excel.Functions.SPG(A259, "SP_DEBT_TO_EQUITY", "LTM")</f>
        <v>#NAME?</v>
      </c>
      <c r="U259" s="9" t="e">
        <f t="shared" ref="U259:U322" ca="1" si="4">N259/R259</f>
        <v>#VALUE!</v>
      </c>
      <c r="Y259" s="1"/>
      <c r="Z259" s="1"/>
      <c r="AA259" s="10"/>
      <c r="AB259" s="1" t="s">
        <v>565</v>
      </c>
      <c r="AC259" s="1" t="s">
        <v>34</v>
      </c>
      <c r="AD259" s="10">
        <v>514.54115999999999</v>
      </c>
      <c r="AE259" s="1" t="s">
        <v>25</v>
      </c>
    </row>
    <row r="260" spans="1:31" x14ac:dyDescent="0.2">
      <c r="A260" s="1" t="s">
        <v>566</v>
      </c>
      <c r="B260" s="2" t="s">
        <v>1408</v>
      </c>
      <c r="C260" s="3">
        <v>-2.6515151515151598</v>
      </c>
      <c r="D260" s="2">
        <v>-6.4379999999999997</v>
      </c>
      <c r="E260" s="2">
        <v>14.003890999999999</v>
      </c>
      <c r="F260" s="4">
        <v>0.94499999999999995</v>
      </c>
      <c r="G260" s="4">
        <v>8.7452106443701592</v>
      </c>
      <c r="H260" s="2" t="s">
        <v>1408</v>
      </c>
      <c r="I260" s="4" t="s">
        <v>1408</v>
      </c>
      <c r="J260" s="4">
        <v>33.7689355808945</v>
      </c>
      <c r="K260" s="4">
        <v>1.1589860000000001</v>
      </c>
      <c r="L260" s="4" t="s">
        <v>1408</v>
      </c>
      <c r="N260" s="5" t="s">
        <v>1408</v>
      </c>
      <c r="O260" s="5">
        <v>120240</v>
      </c>
      <c r="P260" s="6" t="e">
        <v>#VALUE!</v>
      </c>
      <c r="Q260" s="1"/>
      <c r="R260" s="7" t="e">
        <f ca="1">_xll.SNL.Clients.Office.Excel.Functions.SPG(A260, "SP_TOTAL_DEBT", "LTM")</f>
        <v>#NAME?</v>
      </c>
      <c r="S260" s="8" t="e">
        <f ca="1">_xll.SNL.Clients.Office.Excel.Functions.SPG(A260, "SP_DEBT_TO_EQUITY", "LTM")</f>
        <v>#NAME?</v>
      </c>
      <c r="U260" s="9" t="e">
        <f t="shared" ca="1" si="4"/>
        <v>#VALUE!</v>
      </c>
      <c r="Y260" s="1"/>
      <c r="Z260" s="1"/>
      <c r="AA260" s="10"/>
      <c r="AB260" s="1" t="s">
        <v>567</v>
      </c>
      <c r="AC260" s="1" t="s">
        <v>34</v>
      </c>
      <c r="AD260" s="10">
        <v>1745.1227914999999</v>
      </c>
      <c r="AE260" s="1" t="s">
        <v>25</v>
      </c>
    </row>
    <row r="261" spans="1:31" x14ac:dyDescent="0.2">
      <c r="A261" s="1" t="s">
        <v>568</v>
      </c>
      <c r="B261" s="2" t="s">
        <v>1408</v>
      </c>
      <c r="C261" s="3">
        <v>35.053554040895797</v>
      </c>
      <c r="D261" s="2">
        <v>25.689</v>
      </c>
      <c r="E261" s="2">
        <v>12.053623</v>
      </c>
      <c r="F261" s="4">
        <v>0.71499999999999997</v>
      </c>
      <c r="G261" s="4">
        <v>14.615742850254</v>
      </c>
      <c r="H261" s="2">
        <v>1.4139999999999999</v>
      </c>
      <c r="I261" s="4">
        <v>1.2E-2</v>
      </c>
      <c r="J261" s="4">
        <v>71.792881758419995</v>
      </c>
      <c r="K261" s="4" t="s">
        <v>1408</v>
      </c>
      <c r="L261" s="4" t="s">
        <v>1408</v>
      </c>
      <c r="N261" s="5" t="s">
        <v>1408</v>
      </c>
      <c r="O261" s="5">
        <v>195802</v>
      </c>
      <c r="P261" s="6" t="e">
        <v>#VALUE!</v>
      </c>
      <c r="Q261" s="1"/>
      <c r="R261" s="7" t="e">
        <f ca="1">_xll.SNL.Clients.Office.Excel.Functions.SPG(A261, "SP_TOTAL_DEBT", "LTM")</f>
        <v>#NAME?</v>
      </c>
      <c r="S261" s="8" t="e">
        <f ca="1">_xll.SNL.Clients.Office.Excel.Functions.SPG(A261, "SP_DEBT_TO_EQUITY", "LTM")</f>
        <v>#NAME?</v>
      </c>
      <c r="U261" s="9" t="e">
        <f t="shared" ca="1" si="4"/>
        <v>#VALUE!</v>
      </c>
      <c r="Y261" s="1"/>
      <c r="Z261" s="1"/>
      <c r="AA261" s="10"/>
      <c r="AB261" s="1" t="s">
        <v>569</v>
      </c>
      <c r="AC261" s="1" t="s">
        <v>164</v>
      </c>
      <c r="AD261" s="10">
        <v>1986.4336654799999</v>
      </c>
      <c r="AE261" s="1" t="s">
        <v>25</v>
      </c>
    </row>
    <row r="262" spans="1:31" x14ac:dyDescent="0.2">
      <c r="A262" s="1" t="s">
        <v>570</v>
      </c>
      <c r="B262" s="2" t="s">
        <v>1408</v>
      </c>
      <c r="C262" s="3">
        <v>-26.6666666666667</v>
      </c>
      <c r="D262" s="2">
        <v>-15.523</v>
      </c>
      <c r="E262" s="2" t="s">
        <v>1409</v>
      </c>
      <c r="F262" s="4">
        <v>0.29099999999999998</v>
      </c>
      <c r="G262" s="4">
        <v>27.932571903462399</v>
      </c>
      <c r="H262" s="2">
        <v>112.26</v>
      </c>
      <c r="I262" s="4">
        <v>6.0000000000000001E-3</v>
      </c>
      <c r="J262" s="4">
        <v>48.9901071723001</v>
      </c>
      <c r="K262" s="4" t="s">
        <v>1409</v>
      </c>
      <c r="L262" s="4" t="s">
        <v>1408</v>
      </c>
      <c r="N262" s="5" t="s">
        <v>1408</v>
      </c>
      <c r="O262" s="5">
        <v>9387000</v>
      </c>
      <c r="P262" s="6" t="e">
        <v>#VALUE!</v>
      </c>
      <c r="Q262" s="1"/>
      <c r="R262" s="7" t="e">
        <f ca="1">_xll.SNL.Clients.Office.Excel.Functions.SPG(A262, "SP_TOTAL_DEBT", "LTM")</f>
        <v>#NAME?</v>
      </c>
      <c r="S262" s="8" t="e">
        <f ca="1">_xll.SNL.Clients.Office.Excel.Functions.SPG(A262, "SP_DEBT_TO_EQUITY", "LTM")</f>
        <v>#NAME?</v>
      </c>
      <c r="U262" s="9" t="e">
        <f t="shared" ca="1" si="4"/>
        <v>#VALUE!</v>
      </c>
      <c r="Y262" s="1"/>
      <c r="Z262" s="1"/>
      <c r="AA262" s="10"/>
      <c r="AB262" s="1" t="s">
        <v>571</v>
      </c>
      <c r="AC262" s="1" t="s">
        <v>164</v>
      </c>
      <c r="AD262" s="10">
        <v>3317.9747574799999</v>
      </c>
      <c r="AE262" s="1" t="s">
        <v>25</v>
      </c>
    </row>
    <row r="263" spans="1:31" x14ac:dyDescent="0.2">
      <c r="A263" s="1" t="s">
        <v>572</v>
      </c>
      <c r="B263" s="2" t="s">
        <v>1408</v>
      </c>
      <c r="C263" s="3">
        <v>-100</v>
      </c>
      <c r="D263" s="2">
        <v>-32.993000000000002</v>
      </c>
      <c r="E263" s="2" t="s">
        <v>1409</v>
      </c>
      <c r="F263" s="4">
        <v>0.34599999999999997</v>
      </c>
      <c r="G263" s="4">
        <v>23.4088994755957</v>
      </c>
      <c r="H263" s="2">
        <v>169.56700000000001</v>
      </c>
      <c r="I263" s="4">
        <v>7.0000000000000001E-3</v>
      </c>
      <c r="J263" s="4">
        <v>63.578650364448599</v>
      </c>
      <c r="K263" s="4" t="s">
        <v>1409</v>
      </c>
      <c r="L263" s="4" t="s">
        <v>1408</v>
      </c>
      <c r="N263" s="5" t="s">
        <v>1408</v>
      </c>
      <c r="O263" s="5">
        <v>14891000</v>
      </c>
      <c r="P263" s="6" t="e">
        <v>#VALUE!</v>
      </c>
      <c r="Q263" s="1"/>
      <c r="R263" s="7" t="e">
        <f ca="1">_xll.SNL.Clients.Office.Excel.Functions.SPG(A263, "SP_TOTAL_DEBT", "LTM")</f>
        <v>#NAME?</v>
      </c>
      <c r="S263" s="8" t="e">
        <f ca="1">_xll.SNL.Clients.Office.Excel.Functions.SPG(A263, "SP_DEBT_TO_EQUITY", "LTM")</f>
        <v>#NAME?</v>
      </c>
      <c r="U263" s="9" t="e">
        <f t="shared" ca="1" si="4"/>
        <v>#VALUE!</v>
      </c>
      <c r="Y263" s="1"/>
      <c r="Z263" s="1"/>
      <c r="AA263" s="10"/>
      <c r="AB263" s="1" t="s">
        <v>573</v>
      </c>
      <c r="AC263" s="1" t="s">
        <v>164</v>
      </c>
      <c r="AD263" s="10">
        <v>7230.93824124</v>
      </c>
      <c r="AE263" s="1" t="s">
        <v>25</v>
      </c>
    </row>
    <row r="264" spans="1:31" x14ac:dyDescent="0.2">
      <c r="A264" s="1" t="s">
        <v>574</v>
      </c>
      <c r="B264" s="2">
        <v>15.82</v>
      </c>
      <c r="C264" s="3">
        <v>28.301886792452802</v>
      </c>
      <c r="D264" s="2">
        <v>11.326000000000001</v>
      </c>
      <c r="E264" s="2">
        <v>10.34432</v>
      </c>
      <c r="F264" s="4">
        <v>11.752000000000001</v>
      </c>
      <c r="G264" s="4">
        <v>27.534839095675299</v>
      </c>
      <c r="H264" s="2">
        <v>2.508</v>
      </c>
      <c r="I264" s="4">
        <v>0.78100000000000003</v>
      </c>
      <c r="J264" s="4" t="s">
        <v>1408</v>
      </c>
      <c r="K264" s="4">
        <v>2.5533920000000001</v>
      </c>
      <c r="L264" s="4">
        <v>6.4661010000000001</v>
      </c>
      <c r="N264" s="5" t="s">
        <v>1408</v>
      </c>
      <c r="O264" s="5">
        <v>304781</v>
      </c>
      <c r="P264" s="6" t="e">
        <v>#VALUE!</v>
      </c>
      <c r="Q264" s="1"/>
      <c r="R264" s="7" t="e">
        <f ca="1">_xll.SNL.Clients.Office.Excel.Functions.SPG(A264, "SP_TOTAL_DEBT", "LTM")</f>
        <v>#NAME?</v>
      </c>
      <c r="S264" s="8" t="e">
        <f ca="1">_xll.SNL.Clients.Office.Excel.Functions.SPG(A264, "SP_DEBT_TO_EQUITY", "LTM")</f>
        <v>#NAME?</v>
      </c>
      <c r="U264" s="9" t="e">
        <f t="shared" ca="1" si="4"/>
        <v>#VALUE!</v>
      </c>
      <c r="Y264" s="1"/>
      <c r="Z264" s="1"/>
      <c r="AA264" s="10"/>
      <c r="AB264" s="1" t="s">
        <v>575</v>
      </c>
      <c r="AC264" s="1" t="s">
        <v>37</v>
      </c>
      <c r="AD264" s="10">
        <v>2856.8644963199999</v>
      </c>
      <c r="AE264" s="1" t="s">
        <v>25</v>
      </c>
    </row>
    <row r="265" spans="1:31" x14ac:dyDescent="0.2">
      <c r="A265" s="1" t="s">
        <v>576</v>
      </c>
      <c r="B265" s="2">
        <v>2.6789999999999998</v>
      </c>
      <c r="C265" s="3">
        <v>-22.580645161290299</v>
      </c>
      <c r="D265" s="2">
        <v>27.268000000000001</v>
      </c>
      <c r="E265" s="2">
        <v>0.98443999999999998</v>
      </c>
      <c r="F265" s="4" t="s">
        <v>1408</v>
      </c>
      <c r="G265" s="4">
        <v>3.20374370050396</v>
      </c>
      <c r="H265" s="2">
        <v>1.228</v>
      </c>
      <c r="I265" s="4" t="s">
        <v>1408</v>
      </c>
      <c r="J265" s="4" t="s">
        <v>1408</v>
      </c>
      <c r="K265" s="4">
        <v>0.69763600000000003</v>
      </c>
      <c r="L265" s="4">
        <v>0.69701400000000002</v>
      </c>
      <c r="N265" s="5" t="s">
        <v>1408</v>
      </c>
      <c r="O265" s="5">
        <v>2026800</v>
      </c>
      <c r="P265" s="6" t="e">
        <v>#VALUE!</v>
      </c>
      <c r="Q265" s="1"/>
      <c r="R265" s="7" t="e">
        <f ca="1">_xll.SNL.Clients.Office.Excel.Functions.SPG(A265, "SP_TOTAL_DEBT", "LTM")</f>
        <v>#NAME?</v>
      </c>
      <c r="S265" s="8" t="e">
        <f ca="1">_xll.SNL.Clients.Office.Excel.Functions.SPG(A265, "SP_DEBT_TO_EQUITY", "LTM")</f>
        <v>#NAME?</v>
      </c>
      <c r="U265" s="9" t="e">
        <f t="shared" ca="1" si="4"/>
        <v>#VALUE!</v>
      </c>
      <c r="Y265" s="1"/>
      <c r="Z265" s="1"/>
      <c r="AA265" s="10"/>
      <c r="AB265" s="1" t="s">
        <v>577</v>
      </c>
      <c r="AC265" s="1" t="s">
        <v>95</v>
      </c>
      <c r="AD265" s="10">
        <v>1535.2500970799999</v>
      </c>
      <c r="AE265" s="1" t="s">
        <v>25</v>
      </c>
    </row>
    <row r="266" spans="1:31" x14ac:dyDescent="0.2">
      <c r="A266" s="1" t="s">
        <v>578</v>
      </c>
      <c r="B266" s="2">
        <v>9.125</v>
      </c>
      <c r="C266" s="3">
        <v>-51.248513674197397</v>
      </c>
      <c r="D266" s="2">
        <v>-25.827000000000002</v>
      </c>
      <c r="E266" s="2">
        <v>32.240824000000003</v>
      </c>
      <c r="F266" s="4">
        <v>0.85199999999999998</v>
      </c>
      <c r="G266" s="4">
        <v>16.236214368767801</v>
      </c>
      <c r="H266" s="2">
        <v>1.014</v>
      </c>
      <c r="I266" s="4">
        <v>0.16</v>
      </c>
      <c r="J266" s="4" t="s">
        <v>1408</v>
      </c>
      <c r="K266" s="4">
        <v>2.2128429999999999</v>
      </c>
      <c r="L266" s="4">
        <v>9.2437660000000008</v>
      </c>
      <c r="N266" s="5">
        <v>2982000</v>
      </c>
      <c r="O266" s="5">
        <v>703000</v>
      </c>
      <c r="P266" s="6">
        <v>4.2418207681365576</v>
      </c>
      <c r="Q266" s="1"/>
      <c r="R266" s="7" t="e">
        <f ca="1">_xll.SNL.Clients.Office.Excel.Functions.SPG(A266, "SP_TOTAL_DEBT", "LTM")</f>
        <v>#NAME?</v>
      </c>
      <c r="S266" s="8" t="e">
        <f ca="1">_xll.SNL.Clients.Office.Excel.Functions.SPG(A266, "SP_DEBT_TO_EQUITY", "LTM")</f>
        <v>#NAME?</v>
      </c>
      <c r="U266" s="9" t="e">
        <f t="shared" ca="1" si="4"/>
        <v>#NAME?</v>
      </c>
      <c r="Y266" s="1"/>
      <c r="Z266" s="1"/>
      <c r="AA266" s="10"/>
      <c r="AB266" s="1" t="s">
        <v>579</v>
      </c>
      <c r="AC266" s="1" t="s">
        <v>580</v>
      </c>
      <c r="AD266" s="10">
        <v>13616.07649705</v>
      </c>
      <c r="AE266" s="1" t="s">
        <v>25</v>
      </c>
    </row>
    <row r="267" spans="1:31" x14ac:dyDescent="0.2">
      <c r="A267" s="1" t="s">
        <v>581</v>
      </c>
      <c r="B267" s="2">
        <v>1.8129999999999999</v>
      </c>
      <c r="C267" s="3" t="s">
        <v>1409</v>
      </c>
      <c r="D267" s="2">
        <v>4.6909999999999998</v>
      </c>
      <c r="E267" s="2" t="s">
        <v>1409</v>
      </c>
      <c r="F267" s="4">
        <v>1.8129999999999999</v>
      </c>
      <c r="G267" s="4">
        <v>-37.933931206720402</v>
      </c>
      <c r="H267" s="2">
        <v>0.75600000000000001</v>
      </c>
      <c r="I267" s="4">
        <v>0.223</v>
      </c>
      <c r="J267" s="4" t="s">
        <v>1408</v>
      </c>
      <c r="K267" s="4">
        <v>1.8729480000000001</v>
      </c>
      <c r="L267" s="4">
        <v>14.143185000000001</v>
      </c>
      <c r="N267" s="5">
        <v>2220875</v>
      </c>
      <c r="O267" s="5">
        <v>-24263000</v>
      </c>
      <c r="P267" s="6">
        <v>-9.1533404772699167E-2</v>
      </c>
      <c r="Q267" s="1"/>
      <c r="R267" s="7" t="e">
        <f ca="1">_xll.SNL.Clients.Office.Excel.Functions.SPG(A267, "SP_TOTAL_DEBT", "LTM")</f>
        <v>#NAME?</v>
      </c>
      <c r="S267" s="8" t="e">
        <f ca="1">_xll.SNL.Clients.Office.Excel.Functions.SPG(A267, "SP_DEBT_TO_EQUITY", "LTM")</f>
        <v>#NAME?</v>
      </c>
      <c r="U267" s="9" t="e">
        <f t="shared" ca="1" si="4"/>
        <v>#NAME?</v>
      </c>
      <c r="Y267" s="1"/>
      <c r="Z267" s="1"/>
      <c r="AA267" s="10"/>
      <c r="AB267" s="1" t="s">
        <v>582</v>
      </c>
      <c r="AC267" s="1" t="s">
        <v>57</v>
      </c>
      <c r="AD267" s="10">
        <v>36888.028998260001</v>
      </c>
      <c r="AE267" s="1" t="s">
        <v>25</v>
      </c>
    </row>
    <row r="268" spans="1:31" x14ac:dyDescent="0.2">
      <c r="A268" s="1" t="s">
        <v>583</v>
      </c>
      <c r="B268" s="2">
        <v>6.3719999999999999</v>
      </c>
      <c r="C268" s="3">
        <v>-64.705882352941202</v>
      </c>
      <c r="D268" s="2">
        <v>-9.1259999999999994</v>
      </c>
      <c r="E268" s="2">
        <v>36.368158999999999</v>
      </c>
      <c r="F268" s="4">
        <v>5.5380000000000003</v>
      </c>
      <c r="G268" s="4">
        <v>8.5252917959076697</v>
      </c>
      <c r="H268" s="2">
        <v>1.1839999999999999</v>
      </c>
      <c r="I268" s="4">
        <v>0.51700000000000002</v>
      </c>
      <c r="J268" s="4" t="s">
        <v>1408</v>
      </c>
      <c r="K268" s="4">
        <v>2.4326120000000002</v>
      </c>
      <c r="L268" s="4">
        <v>8.7108570000000007</v>
      </c>
      <c r="N268" s="5">
        <v>163406</v>
      </c>
      <c r="O268" s="5">
        <v>27876</v>
      </c>
      <c r="P268" s="6">
        <v>5.8618883627493181</v>
      </c>
      <c r="Q268" s="1"/>
      <c r="R268" s="7" t="e">
        <f ca="1">_xll.SNL.Clients.Office.Excel.Functions.SPG(A268, "SP_TOTAL_DEBT", "LTM")</f>
        <v>#NAME?</v>
      </c>
      <c r="S268" s="8" t="e">
        <f ca="1">_xll.SNL.Clients.Office.Excel.Functions.SPG(A268, "SP_DEBT_TO_EQUITY", "LTM")</f>
        <v>#NAME?</v>
      </c>
      <c r="U268" s="9" t="e">
        <f t="shared" ca="1" si="4"/>
        <v>#NAME?</v>
      </c>
      <c r="Y268" s="1"/>
      <c r="Z268" s="1"/>
      <c r="AA268" s="10"/>
      <c r="AB268" s="1" t="s">
        <v>584</v>
      </c>
      <c r="AC268" s="1" t="s">
        <v>37</v>
      </c>
      <c r="AD268" s="10">
        <v>527.04605262764505</v>
      </c>
      <c r="AE268" s="1" t="s">
        <v>25</v>
      </c>
    </row>
    <row r="269" spans="1:31" x14ac:dyDescent="0.2">
      <c r="A269" s="1" t="s">
        <v>585</v>
      </c>
      <c r="B269" s="2" t="s">
        <v>1408</v>
      </c>
      <c r="C269" s="3">
        <v>-3.8805970149253701</v>
      </c>
      <c r="D269" s="2">
        <v>4.7300000000000004</v>
      </c>
      <c r="E269" s="2">
        <v>10.394410000000001</v>
      </c>
      <c r="F269" s="4">
        <v>1.113</v>
      </c>
      <c r="G269" s="4">
        <v>13.268187980117499</v>
      </c>
      <c r="H269" s="2" t="s">
        <v>1408</v>
      </c>
      <c r="I269" s="4" t="s">
        <v>1408</v>
      </c>
      <c r="J269" s="4">
        <v>37.088607594936697</v>
      </c>
      <c r="K269" s="4">
        <v>1.336608</v>
      </c>
      <c r="L269" s="4" t="s">
        <v>1408</v>
      </c>
      <c r="N269" s="5" t="s">
        <v>1408</v>
      </c>
      <c r="O269" s="5">
        <v>2349000</v>
      </c>
      <c r="P269" s="6" t="e">
        <v>#VALUE!</v>
      </c>
      <c r="Q269" s="1"/>
      <c r="R269" s="7" t="e">
        <f ca="1">_xll.SNL.Clients.Office.Excel.Functions.SPG(A269, "SP_TOTAL_DEBT", "LTM")</f>
        <v>#NAME?</v>
      </c>
      <c r="S269" s="8" t="e">
        <f ca="1">_xll.SNL.Clients.Office.Excel.Functions.SPG(A269, "SP_DEBT_TO_EQUITY", "LTM")</f>
        <v>#NAME?</v>
      </c>
      <c r="U269" s="9" t="e">
        <f t="shared" ca="1" si="4"/>
        <v>#VALUE!</v>
      </c>
      <c r="Y269" s="1"/>
      <c r="Z269" s="1"/>
      <c r="AA269" s="10"/>
      <c r="AB269" s="1" t="s">
        <v>586</v>
      </c>
      <c r="AC269" s="1" t="s">
        <v>34</v>
      </c>
      <c r="AD269" s="10">
        <v>23321.72</v>
      </c>
      <c r="AE269" s="1" t="s">
        <v>25</v>
      </c>
    </row>
    <row r="270" spans="1:31" x14ac:dyDescent="0.2">
      <c r="A270" s="1" t="s">
        <v>587</v>
      </c>
      <c r="B270" s="2" t="s">
        <v>1408</v>
      </c>
      <c r="C270" s="3">
        <v>-11.516853932584301</v>
      </c>
      <c r="D270" s="2">
        <v>-2.7E-2</v>
      </c>
      <c r="E270" s="2">
        <v>6.0253969999999999</v>
      </c>
      <c r="F270" s="4">
        <v>0.84099999999999997</v>
      </c>
      <c r="G270" s="4">
        <v>11.8635026883116</v>
      </c>
      <c r="H270" s="2" t="s">
        <v>1408</v>
      </c>
      <c r="I270" s="4" t="s">
        <v>1408</v>
      </c>
      <c r="J270" s="4">
        <v>27.417305248565601</v>
      </c>
      <c r="K270" s="4">
        <v>0.668404</v>
      </c>
      <c r="L270" s="4" t="s">
        <v>1408</v>
      </c>
      <c r="N270" s="5" t="s">
        <v>1408</v>
      </c>
      <c r="O270" s="5">
        <v>50264</v>
      </c>
      <c r="P270" s="6" t="e">
        <v>#VALUE!</v>
      </c>
      <c r="Q270" s="1"/>
      <c r="R270" s="7" t="e">
        <f ca="1">_xll.SNL.Clients.Office.Excel.Functions.SPG(A270, "SP_TOTAL_DEBT", "LTM")</f>
        <v>#NAME?</v>
      </c>
      <c r="S270" s="8" t="e">
        <f ca="1">_xll.SNL.Clients.Office.Excel.Functions.SPG(A270, "SP_DEBT_TO_EQUITY", "LTM")</f>
        <v>#NAME?</v>
      </c>
      <c r="U270" s="9" t="e">
        <f t="shared" ca="1" si="4"/>
        <v>#VALUE!</v>
      </c>
      <c r="Y270" s="1"/>
      <c r="Z270" s="1"/>
      <c r="AA270" s="10"/>
      <c r="AB270" s="1" t="s">
        <v>588</v>
      </c>
      <c r="AC270" s="1" t="s">
        <v>34</v>
      </c>
      <c r="AD270" s="10">
        <v>322.00630000000001</v>
      </c>
      <c r="AE270" s="1" t="s">
        <v>25</v>
      </c>
    </row>
    <row r="271" spans="1:31" x14ac:dyDescent="0.2">
      <c r="A271" s="1" t="s">
        <v>589</v>
      </c>
      <c r="B271" s="2">
        <v>3.4430000000000001</v>
      </c>
      <c r="C271" s="3">
        <v>-78.007181328545798</v>
      </c>
      <c r="D271" s="2">
        <v>-17.524999999999999</v>
      </c>
      <c r="E271" s="2">
        <v>26.171150999999998</v>
      </c>
      <c r="F271" s="4">
        <v>1.696</v>
      </c>
      <c r="G271" s="4">
        <v>5.2792525375275199</v>
      </c>
      <c r="H271" s="2">
        <v>0.32800000000000001</v>
      </c>
      <c r="I271" s="4">
        <v>0.40200000000000002</v>
      </c>
      <c r="J271" s="4" t="s">
        <v>1408</v>
      </c>
      <c r="K271" s="4">
        <v>1.353763</v>
      </c>
      <c r="L271" s="4">
        <v>9.0589080000000006</v>
      </c>
      <c r="N271" s="5">
        <v>-1027350</v>
      </c>
      <c r="O271" s="5">
        <v>235200</v>
      </c>
      <c r="P271" s="6">
        <v>-4.3679846938775508</v>
      </c>
      <c r="Q271" s="1"/>
      <c r="R271" s="7" t="e">
        <f ca="1">_xll.SNL.Clients.Office.Excel.Functions.SPG(A271, "SP_TOTAL_DEBT", "LTM")</f>
        <v>#NAME?</v>
      </c>
      <c r="S271" s="8" t="e">
        <f ca="1">_xll.SNL.Clients.Office.Excel.Functions.SPG(A271, "SP_DEBT_TO_EQUITY", "LTM")</f>
        <v>#NAME?</v>
      </c>
      <c r="U271" s="9" t="e">
        <f t="shared" ca="1" si="4"/>
        <v>#NAME?</v>
      </c>
      <c r="Y271" s="1"/>
      <c r="Z271" s="1"/>
      <c r="AA271" s="10"/>
      <c r="AB271" s="1" t="s">
        <v>590</v>
      </c>
      <c r="AC271" s="1" t="s">
        <v>580</v>
      </c>
      <c r="AD271" s="10">
        <v>6226.9901272999996</v>
      </c>
      <c r="AE271" s="1" t="s">
        <v>25</v>
      </c>
    </row>
    <row r="272" spans="1:31" x14ac:dyDescent="0.2">
      <c r="A272" s="1" t="s">
        <v>591</v>
      </c>
      <c r="B272" s="2" t="s">
        <v>1408</v>
      </c>
      <c r="C272" s="3">
        <v>-38.5922330097087</v>
      </c>
      <c r="D272" s="2">
        <v>3.548</v>
      </c>
      <c r="E272" s="2">
        <v>13.509881</v>
      </c>
      <c r="F272" s="4">
        <v>0.91600000000000004</v>
      </c>
      <c r="G272" s="4">
        <v>8.0532609864125195</v>
      </c>
      <c r="H272" s="2" t="s">
        <v>1408</v>
      </c>
      <c r="I272" s="4" t="s">
        <v>1408</v>
      </c>
      <c r="J272" s="4">
        <v>36.6328671674733</v>
      </c>
      <c r="K272" s="4">
        <v>1.023874</v>
      </c>
      <c r="L272" s="4" t="s">
        <v>1408</v>
      </c>
      <c r="N272" s="5" t="s">
        <v>1408</v>
      </c>
      <c r="O272" s="5">
        <v>104131</v>
      </c>
      <c r="P272" s="6" t="e">
        <v>#VALUE!</v>
      </c>
      <c r="Q272" s="1"/>
      <c r="R272" s="7" t="e">
        <f ca="1">_xll.SNL.Clients.Office.Excel.Functions.SPG(A272, "SP_TOTAL_DEBT", "LTM")</f>
        <v>#NAME?</v>
      </c>
      <c r="S272" s="8" t="e">
        <f ca="1">_xll.SNL.Clients.Office.Excel.Functions.SPG(A272, "SP_DEBT_TO_EQUITY", "LTM")</f>
        <v>#NAME?</v>
      </c>
      <c r="U272" s="9" t="e">
        <f t="shared" ca="1" si="4"/>
        <v>#VALUE!</v>
      </c>
      <c r="Y272" s="1"/>
      <c r="Z272" s="1"/>
      <c r="AA272" s="10"/>
      <c r="AB272" s="1" t="s">
        <v>592</v>
      </c>
      <c r="AC272" s="1" t="s">
        <v>34</v>
      </c>
      <c r="AD272" s="10">
        <v>1420.7611507199999</v>
      </c>
      <c r="AE272" s="1" t="s">
        <v>25</v>
      </c>
    </row>
    <row r="273" spans="1:31" x14ac:dyDescent="0.2">
      <c r="A273" s="1" t="s">
        <v>593</v>
      </c>
      <c r="B273" s="2" t="s">
        <v>1408</v>
      </c>
      <c r="C273" s="3">
        <v>7.5471698113207504</v>
      </c>
      <c r="D273" s="2">
        <v>-2.4430000000000001</v>
      </c>
      <c r="E273" s="2">
        <v>9.5672510000000006</v>
      </c>
      <c r="F273" s="4">
        <v>1.613</v>
      </c>
      <c r="G273" s="4">
        <v>21.8636639597932</v>
      </c>
      <c r="H273" s="2" t="s">
        <v>1408</v>
      </c>
      <c r="I273" s="4" t="s">
        <v>1408</v>
      </c>
      <c r="J273" s="4">
        <v>42.919100389648897</v>
      </c>
      <c r="K273" s="4">
        <v>1.8396490000000001</v>
      </c>
      <c r="L273" s="4" t="s">
        <v>1408</v>
      </c>
      <c r="N273" s="5" t="s">
        <v>1408</v>
      </c>
      <c r="O273" s="5">
        <v>302864</v>
      </c>
      <c r="P273" s="6" t="e">
        <v>#VALUE!</v>
      </c>
      <c r="Q273" s="1"/>
      <c r="R273" s="7" t="e">
        <f ca="1">_xll.SNL.Clients.Office.Excel.Functions.SPG(A273, "SP_TOTAL_DEBT", "LTM")</f>
        <v>#NAME?</v>
      </c>
      <c r="S273" s="8" t="e">
        <f ca="1">_xll.SNL.Clients.Office.Excel.Functions.SPG(A273, "SP_DEBT_TO_EQUITY", "LTM")</f>
        <v>#NAME?</v>
      </c>
      <c r="U273" s="9" t="e">
        <f t="shared" ca="1" si="4"/>
        <v>#VALUE!</v>
      </c>
      <c r="Y273" s="1"/>
      <c r="Z273" s="1"/>
      <c r="AA273" s="10"/>
      <c r="AB273" s="1" t="s">
        <v>594</v>
      </c>
      <c r="AC273" s="1" t="s">
        <v>34</v>
      </c>
      <c r="AD273" s="10">
        <v>2809.0194358799999</v>
      </c>
      <c r="AE273" s="1" t="s">
        <v>25</v>
      </c>
    </row>
    <row r="274" spans="1:31" x14ac:dyDescent="0.2">
      <c r="A274" s="1" t="s">
        <v>595</v>
      </c>
      <c r="B274" s="2" t="s">
        <v>1408</v>
      </c>
      <c r="C274" s="3">
        <v>-48.369565217391298</v>
      </c>
      <c r="D274" s="2">
        <v>1.3069999999999999</v>
      </c>
      <c r="E274" s="2">
        <v>14.126315999999999</v>
      </c>
      <c r="F274" s="4">
        <v>0.65900000000000003</v>
      </c>
      <c r="G274" s="4">
        <v>6.3848379576584797</v>
      </c>
      <c r="H274" s="2" t="s">
        <v>1408</v>
      </c>
      <c r="I274" s="4" t="s">
        <v>1408</v>
      </c>
      <c r="J274" s="4">
        <v>34.950830243430602</v>
      </c>
      <c r="K274" s="4">
        <v>0.90339999999999998</v>
      </c>
      <c r="L274" s="4" t="s">
        <v>1408</v>
      </c>
      <c r="N274" s="5" t="s">
        <v>1408</v>
      </c>
      <c r="O274" s="5">
        <v>20897</v>
      </c>
      <c r="P274" s="6" t="e">
        <v>#VALUE!</v>
      </c>
      <c r="Q274" s="1"/>
      <c r="R274" s="7" t="e">
        <f ca="1">_xll.SNL.Clients.Office.Excel.Functions.SPG(A274, "SP_TOTAL_DEBT", "LTM")</f>
        <v>#NAME?</v>
      </c>
      <c r="S274" s="8" t="e">
        <f ca="1">_xll.SNL.Clients.Office.Excel.Functions.SPG(A274, "SP_DEBT_TO_EQUITY", "LTM")</f>
        <v>#NAME?</v>
      </c>
      <c r="U274" s="9" t="e">
        <f t="shared" ca="1" si="4"/>
        <v>#VALUE!</v>
      </c>
      <c r="Y274" s="1"/>
      <c r="Z274" s="1"/>
      <c r="AA274" s="10"/>
      <c r="AB274" s="1" t="s">
        <v>596</v>
      </c>
      <c r="AC274" s="1" t="s">
        <v>34</v>
      </c>
      <c r="AD274" s="10">
        <v>343.06199628000002</v>
      </c>
      <c r="AE274" s="1" t="s">
        <v>25</v>
      </c>
    </row>
    <row r="275" spans="1:31" x14ac:dyDescent="0.2">
      <c r="A275" s="1" t="s">
        <v>597</v>
      </c>
      <c r="B275" s="2" t="s">
        <v>1408</v>
      </c>
      <c r="C275" s="3">
        <v>-4.8034934497816497</v>
      </c>
      <c r="D275" s="2">
        <v>-1.387</v>
      </c>
      <c r="E275" s="2">
        <v>10.440367</v>
      </c>
      <c r="F275" s="4">
        <v>0.996</v>
      </c>
      <c r="G275" s="4">
        <v>10.234979052384499</v>
      </c>
      <c r="H275" s="2" t="s">
        <v>1408</v>
      </c>
      <c r="I275" s="4" t="s">
        <v>1408</v>
      </c>
      <c r="J275" s="4">
        <v>36.0209802041622</v>
      </c>
      <c r="K275" s="4">
        <v>0.98849100000000001</v>
      </c>
      <c r="L275" s="4" t="s">
        <v>1408</v>
      </c>
      <c r="N275" s="5" t="s">
        <v>1408</v>
      </c>
      <c r="O275" s="5">
        <v>122565</v>
      </c>
      <c r="P275" s="6" t="e">
        <v>#VALUE!</v>
      </c>
      <c r="Q275" s="1"/>
      <c r="R275" s="7" t="e">
        <f ca="1">_xll.SNL.Clients.Office.Excel.Functions.SPG(A275, "SP_TOTAL_DEBT", "LTM")</f>
        <v>#NAME?</v>
      </c>
      <c r="S275" s="8" t="e">
        <f ca="1">_xll.SNL.Clients.Office.Excel.Functions.SPG(A275, "SP_DEBT_TO_EQUITY", "LTM")</f>
        <v>#NAME?</v>
      </c>
      <c r="U275" s="9" t="e">
        <f t="shared" ca="1" si="4"/>
        <v>#VALUE!</v>
      </c>
      <c r="Y275" s="1"/>
      <c r="Z275" s="1"/>
      <c r="AA275" s="10"/>
      <c r="AB275" s="1" t="s">
        <v>598</v>
      </c>
      <c r="AC275" s="1" t="s">
        <v>34</v>
      </c>
      <c r="AD275" s="10">
        <v>1300.44656126</v>
      </c>
      <c r="AE275" s="1" t="s">
        <v>25</v>
      </c>
    </row>
    <row r="276" spans="1:31" x14ac:dyDescent="0.2">
      <c r="A276" s="1" t="s">
        <v>599</v>
      </c>
      <c r="B276" s="2" t="s">
        <v>1408</v>
      </c>
      <c r="C276" s="3">
        <v>-8.8421052631578902</v>
      </c>
      <c r="D276" s="2">
        <v>3.0339999999999998</v>
      </c>
      <c r="E276" s="2">
        <v>7.8568129999999998</v>
      </c>
      <c r="F276" s="4">
        <v>1.1419999999999999</v>
      </c>
      <c r="G276" s="4">
        <v>13.505518634967601</v>
      </c>
      <c r="H276" s="2" t="s">
        <v>1408</v>
      </c>
      <c r="I276" s="4" t="s">
        <v>1408</v>
      </c>
      <c r="J276" s="4">
        <v>32.780097401018502</v>
      </c>
      <c r="K276" s="4">
        <v>0.9768</v>
      </c>
      <c r="L276" s="4" t="s">
        <v>1408</v>
      </c>
      <c r="N276" s="5" t="s">
        <v>1408</v>
      </c>
      <c r="O276" s="5">
        <v>37027</v>
      </c>
      <c r="P276" s="6" t="e">
        <v>#VALUE!</v>
      </c>
      <c r="Q276" s="1"/>
      <c r="R276" s="7" t="e">
        <f ca="1">_xll.SNL.Clients.Office.Excel.Functions.SPG(A276, "SP_TOTAL_DEBT", "LTM")</f>
        <v>#NAME?</v>
      </c>
      <c r="S276" s="8" t="e">
        <f ca="1">_xll.SNL.Clients.Office.Excel.Functions.SPG(A276, "SP_DEBT_TO_EQUITY", "LTM")</f>
        <v>#NAME?</v>
      </c>
      <c r="U276" s="9" t="e">
        <f t="shared" ca="1" si="4"/>
        <v>#VALUE!</v>
      </c>
      <c r="Y276" s="1"/>
      <c r="Z276" s="1"/>
      <c r="AA276" s="10"/>
      <c r="AB276" s="1" t="s">
        <v>600</v>
      </c>
      <c r="AC276" s="1" t="s">
        <v>34</v>
      </c>
      <c r="AD276" s="10">
        <v>305.73438706000002</v>
      </c>
      <c r="AE276" s="1" t="s">
        <v>25</v>
      </c>
    </row>
    <row r="277" spans="1:31" x14ac:dyDescent="0.2">
      <c r="A277" s="1" t="s">
        <v>601</v>
      </c>
      <c r="B277" s="2" t="s">
        <v>1408</v>
      </c>
      <c r="C277" s="3" t="s">
        <v>1409</v>
      </c>
      <c r="D277" s="2">
        <v>106.667</v>
      </c>
      <c r="E277" s="2">
        <v>1.935657</v>
      </c>
      <c r="F277" s="4">
        <v>6.9390000000000001</v>
      </c>
      <c r="G277" s="4">
        <v>63.923733065730097</v>
      </c>
      <c r="H277" s="2" t="s">
        <v>1408</v>
      </c>
      <c r="I277" s="4" t="s">
        <v>1408</v>
      </c>
      <c r="J277" s="4">
        <v>31.499556344276801</v>
      </c>
      <c r="K277" s="4">
        <v>1.1038570000000001</v>
      </c>
      <c r="L277" s="4" t="s">
        <v>1408</v>
      </c>
      <c r="N277" s="5" t="s">
        <v>1408</v>
      </c>
      <c r="O277" s="5">
        <v>11466000</v>
      </c>
      <c r="P277" s="6" t="e">
        <v>#VALUE!</v>
      </c>
      <c r="Q277" s="1"/>
      <c r="R277" s="7" t="e">
        <f ca="1">_xll.SNL.Clients.Office.Excel.Functions.SPG(A277, "SP_TOTAL_DEBT", "LTM")</f>
        <v>#NAME?</v>
      </c>
      <c r="S277" s="8" t="e">
        <f ca="1">_xll.SNL.Clients.Office.Excel.Functions.SPG(A277, "SP_DEBT_TO_EQUITY", "LTM")</f>
        <v>#NAME?</v>
      </c>
      <c r="U277" s="9" t="e">
        <f t="shared" ca="1" si="4"/>
        <v>#VALUE!</v>
      </c>
      <c r="Y277" s="1"/>
      <c r="Z277" s="1"/>
      <c r="AA277" s="10"/>
      <c r="AB277" s="1" t="s">
        <v>602</v>
      </c>
      <c r="AC277" s="1" t="s">
        <v>34</v>
      </c>
      <c r="AD277" s="10">
        <v>21724.341179999999</v>
      </c>
      <c r="AE277" s="1" t="s">
        <v>25</v>
      </c>
    </row>
    <row r="278" spans="1:31" x14ac:dyDescent="0.2">
      <c r="A278" s="1" t="s">
        <v>603</v>
      </c>
      <c r="B278" s="2" t="s">
        <v>1408</v>
      </c>
      <c r="C278" s="3">
        <v>5.8952475334380496</v>
      </c>
      <c r="D278" s="2">
        <v>12.484999999999999</v>
      </c>
      <c r="E278" s="2">
        <v>15.256173</v>
      </c>
      <c r="F278" s="4">
        <v>1.8009999999999999</v>
      </c>
      <c r="G278" s="4">
        <v>9.6425042331431499</v>
      </c>
      <c r="H278" s="2" t="s">
        <v>1408</v>
      </c>
      <c r="I278" s="4" t="s">
        <v>1408</v>
      </c>
      <c r="J278" s="4">
        <v>42.7301260257819</v>
      </c>
      <c r="K278" s="4">
        <v>1.501382</v>
      </c>
      <c r="L278" s="4" t="s">
        <v>1408</v>
      </c>
      <c r="N278" s="5" t="s">
        <v>1408</v>
      </c>
      <c r="O278" s="5">
        <v>814304</v>
      </c>
      <c r="P278" s="6" t="e">
        <v>#VALUE!</v>
      </c>
      <c r="Q278" s="1"/>
      <c r="R278" s="7" t="e">
        <f ca="1">_xll.SNL.Clients.Office.Excel.Functions.SPG(A278, "SP_TOTAL_DEBT", "LTM")</f>
        <v>#NAME?</v>
      </c>
      <c r="S278" s="8" t="e">
        <f ca="1">_xll.SNL.Clients.Office.Excel.Functions.SPG(A278, "SP_DEBT_TO_EQUITY", "LTM")</f>
        <v>#NAME?</v>
      </c>
      <c r="U278" s="9" t="e">
        <f t="shared" ca="1" si="4"/>
        <v>#VALUE!</v>
      </c>
      <c r="Y278" s="1"/>
      <c r="Z278" s="1"/>
      <c r="AA278" s="10"/>
      <c r="AB278" s="1" t="s">
        <v>604</v>
      </c>
      <c r="AC278" s="1" t="s">
        <v>34</v>
      </c>
      <c r="AD278" s="10">
        <v>1867.60556075669</v>
      </c>
      <c r="AE278" s="1" t="s">
        <v>42</v>
      </c>
    </row>
    <row r="279" spans="1:31" x14ac:dyDescent="0.2">
      <c r="A279" s="1" t="s">
        <v>605</v>
      </c>
      <c r="B279" s="2" t="s">
        <v>1408</v>
      </c>
      <c r="C279" s="3">
        <v>12.408759124087601</v>
      </c>
      <c r="D279" s="2">
        <v>19.972000000000001</v>
      </c>
      <c r="E279" s="2">
        <v>8.6298700000000004</v>
      </c>
      <c r="F279" s="4">
        <v>1.4770000000000001</v>
      </c>
      <c r="G279" s="4">
        <v>12.8018955507212</v>
      </c>
      <c r="H279" s="2" t="s">
        <v>1408</v>
      </c>
      <c r="I279" s="4" t="s">
        <v>1408</v>
      </c>
      <c r="J279" s="4">
        <v>42.847666194018103</v>
      </c>
      <c r="K279" s="4">
        <v>1.0294350000000001</v>
      </c>
      <c r="L279" s="4" t="s">
        <v>1408</v>
      </c>
      <c r="N279" s="5" t="s">
        <v>1408</v>
      </c>
      <c r="O279" s="5">
        <v>157063</v>
      </c>
      <c r="P279" s="6" t="e">
        <v>#VALUE!</v>
      </c>
      <c r="Q279" s="1"/>
      <c r="R279" s="7" t="e">
        <f ca="1">_xll.SNL.Clients.Office.Excel.Functions.SPG(A279, "SP_TOTAL_DEBT", "LTM")</f>
        <v>#NAME?</v>
      </c>
      <c r="S279" s="8" t="e">
        <f ca="1">_xll.SNL.Clients.Office.Excel.Functions.SPG(A279, "SP_DEBT_TO_EQUITY", "LTM")</f>
        <v>#NAME?</v>
      </c>
      <c r="U279" s="9" t="e">
        <f t="shared" ca="1" si="4"/>
        <v>#VALUE!</v>
      </c>
      <c r="Y279" s="1"/>
      <c r="Z279" s="1"/>
      <c r="AA279" s="10"/>
      <c r="AB279" s="1" t="s">
        <v>606</v>
      </c>
      <c r="AC279" s="1" t="s">
        <v>34</v>
      </c>
      <c r="AD279" s="10">
        <v>1426.26561999</v>
      </c>
      <c r="AE279" s="1" t="s">
        <v>25</v>
      </c>
    </row>
    <row r="280" spans="1:31" x14ac:dyDescent="0.2">
      <c r="A280" s="1" t="s">
        <v>607</v>
      </c>
      <c r="B280" s="2" t="s">
        <v>1408</v>
      </c>
      <c r="C280" s="3">
        <v>-3.5460992907801301</v>
      </c>
      <c r="D280" s="2">
        <v>9.6859999999999999</v>
      </c>
      <c r="E280" s="2">
        <v>12.402549</v>
      </c>
      <c r="F280" s="4">
        <v>1.5</v>
      </c>
      <c r="G280" s="4">
        <v>10.0236919833426</v>
      </c>
      <c r="H280" s="2" t="s">
        <v>1408</v>
      </c>
      <c r="I280" s="4" t="s">
        <v>1408</v>
      </c>
      <c r="J280" s="4">
        <v>40.802388030782801</v>
      </c>
      <c r="K280" s="4">
        <v>1.2164550000000001</v>
      </c>
      <c r="L280" s="4" t="s">
        <v>1408</v>
      </c>
      <c r="N280" s="5" t="s">
        <v>1408</v>
      </c>
      <c r="O280" s="5">
        <v>48020</v>
      </c>
      <c r="P280" s="6" t="e">
        <v>#VALUE!</v>
      </c>
      <c r="Q280" s="1"/>
      <c r="R280" s="7" t="e">
        <f ca="1">_xll.SNL.Clients.Office.Excel.Functions.SPG(A280, "SP_TOTAL_DEBT", "LTM")</f>
        <v>#NAME?</v>
      </c>
      <c r="S280" s="8" t="e">
        <f ca="1">_xll.SNL.Clients.Office.Excel.Functions.SPG(A280, "SP_DEBT_TO_EQUITY", "LTM")</f>
        <v>#NAME?</v>
      </c>
      <c r="U280" s="9" t="e">
        <f t="shared" ca="1" si="4"/>
        <v>#VALUE!</v>
      </c>
      <c r="Y280" s="1"/>
      <c r="Z280" s="1"/>
      <c r="AA280" s="10"/>
      <c r="AB280" s="1" t="s">
        <v>608</v>
      </c>
      <c r="AC280" s="1" t="s">
        <v>34</v>
      </c>
      <c r="AD280" s="10">
        <v>634.26213487999996</v>
      </c>
      <c r="AE280" s="1" t="s">
        <v>25</v>
      </c>
    </row>
    <row r="281" spans="1:31" x14ac:dyDescent="0.2">
      <c r="A281" s="1" t="s">
        <v>609</v>
      </c>
      <c r="B281" s="2" t="s">
        <v>1408</v>
      </c>
      <c r="C281" s="3">
        <v>14.174757281553401</v>
      </c>
      <c r="D281" s="2">
        <v>10.09</v>
      </c>
      <c r="E281" s="2">
        <v>12.911046000000001</v>
      </c>
      <c r="F281" s="4">
        <v>1.55</v>
      </c>
      <c r="G281" s="4">
        <v>18.137527648502701</v>
      </c>
      <c r="H281" s="2" t="s">
        <v>1408</v>
      </c>
      <c r="I281" s="4" t="s">
        <v>1408</v>
      </c>
      <c r="J281" s="4" t="s">
        <v>1408</v>
      </c>
      <c r="K281" s="4">
        <v>1.9039379999999999</v>
      </c>
      <c r="L281" s="4" t="s">
        <v>1408</v>
      </c>
      <c r="N281" s="5" t="s">
        <v>1408</v>
      </c>
      <c r="O281" s="5">
        <v>41277</v>
      </c>
      <c r="P281" s="6" t="e">
        <v>#VALUE!</v>
      </c>
      <c r="Q281" s="1"/>
      <c r="R281" s="7" t="e">
        <f ca="1">_xll.SNL.Clients.Office.Excel.Functions.SPG(A281, "SP_TOTAL_DEBT", "LTM")</f>
        <v>#NAME?</v>
      </c>
      <c r="S281" s="8" t="e">
        <f ca="1">_xll.SNL.Clients.Office.Excel.Functions.SPG(A281, "SP_DEBT_TO_EQUITY", "LTM")</f>
        <v>#NAME?</v>
      </c>
      <c r="U281" s="9" t="e">
        <f t="shared" ca="1" si="4"/>
        <v>#VALUE!</v>
      </c>
      <c r="Y281" s="1"/>
      <c r="Z281" s="1"/>
      <c r="AA281" s="10"/>
      <c r="AB281" s="1" t="s">
        <v>610</v>
      </c>
      <c r="AC281" s="1" t="s">
        <v>34</v>
      </c>
      <c r="AD281" s="10">
        <v>505.79834399999999</v>
      </c>
      <c r="AE281" s="1" t="s">
        <v>25</v>
      </c>
    </row>
    <row r="282" spans="1:31" x14ac:dyDescent="0.2">
      <c r="A282" s="1" t="s">
        <v>611</v>
      </c>
      <c r="B282" s="2" t="s">
        <v>1408</v>
      </c>
      <c r="C282" s="3">
        <v>16.956521739130402</v>
      </c>
      <c r="D282" s="2">
        <v>18.393999999999998</v>
      </c>
      <c r="E282" s="2">
        <v>8.1263939999999995</v>
      </c>
      <c r="F282" s="4">
        <v>1.482</v>
      </c>
      <c r="G282" s="4">
        <v>12.0137518423515</v>
      </c>
      <c r="H282" s="2" t="s">
        <v>1408</v>
      </c>
      <c r="I282" s="4" t="s">
        <v>1408</v>
      </c>
      <c r="J282" s="4">
        <v>38.885269909800201</v>
      </c>
      <c r="K282" s="4">
        <v>0.91702300000000003</v>
      </c>
      <c r="L282" s="4" t="s">
        <v>1408</v>
      </c>
      <c r="N282" s="5" t="s">
        <v>1408</v>
      </c>
      <c r="O282" s="5">
        <v>255863</v>
      </c>
      <c r="P282" s="6" t="e">
        <v>#VALUE!</v>
      </c>
      <c r="Q282" s="1"/>
      <c r="R282" s="7" t="e">
        <f ca="1">_xll.SNL.Clients.Office.Excel.Functions.SPG(A282, "SP_TOTAL_DEBT", "LTM")</f>
        <v>#NAME?</v>
      </c>
      <c r="S282" s="8" t="e">
        <f ca="1">_xll.SNL.Clients.Office.Excel.Functions.SPG(A282, "SP_DEBT_TO_EQUITY", "LTM")</f>
        <v>#NAME?</v>
      </c>
      <c r="U282" s="9" t="e">
        <f t="shared" ca="1" si="4"/>
        <v>#VALUE!</v>
      </c>
      <c r="Y282" s="1"/>
      <c r="Z282" s="1"/>
      <c r="AA282" s="10"/>
      <c r="AB282" s="1" t="s">
        <v>612</v>
      </c>
      <c r="AC282" s="1" t="s">
        <v>34</v>
      </c>
      <c r="AD282" s="10">
        <v>2133.06669048</v>
      </c>
      <c r="AE282" s="1" t="s">
        <v>25</v>
      </c>
    </row>
    <row r="283" spans="1:31" x14ac:dyDescent="0.2">
      <c r="A283" s="1" t="s">
        <v>613</v>
      </c>
      <c r="B283" s="2" t="s">
        <v>1408</v>
      </c>
      <c r="C283" s="3">
        <v>-15.243902439024399</v>
      </c>
      <c r="D283" s="2">
        <v>-6.6849999999999996</v>
      </c>
      <c r="E283" s="2">
        <v>22.057554</v>
      </c>
      <c r="F283" s="4">
        <v>1.526</v>
      </c>
      <c r="G283" s="4">
        <v>14.985159964362801</v>
      </c>
      <c r="H283" s="2" t="s">
        <v>1408</v>
      </c>
      <c r="I283" s="4" t="s">
        <v>1408</v>
      </c>
      <c r="J283" s="4">
        <v>50.5463182897862</v>
      </c>
      <c r="K283" s="4">
        <v>2.9191660000000001</v>
      </c>
      <c r="L283" s="4" t="s">
        <v>1408</v>
      </c>
      <c r="N283" s="5" t="s">
        <v>1408</v>
      </c>
      <c r="O283" s="5">
        <v>198977</v>
      </c>
      <c r="P283" s="6" t="e">
        <v>#VALUE!</v>
      </c>
      <c r="Q283" s="1"/>
      <c r="R283" s="7" t="e">
        <f ca="1">_xll.SNL.Clients.Office.Excel.Functions.SPG(A283, "SP_TOTAL_DEBT", "LTM")</f>
        <v>#NAME?</v>
      </c>
      <c r="S283" s="8" t="e">
        <f ca="1">_xll.SNL.Clients.Office.Excel.Functions.SPG(A283, "SP_DEBT_TO_EQUITY", "LTM")</f>
        <v>#NAME?</v>
      </c>
      <c r="U283" s="9" t="e">
        <f t="shared" ca="1" si="4"/>
        <v>#VALUE!</v>
      </c>
      <c r="Y283" s="1"/>
      <c r="Z283" s="1"/>
      <c r="AA283" s="10"/>
      <c r="AB283" s="1" t="s">
        <v>614</v>
      </c>
      <c r="AC283" s="1" t="s">
        <v>34</v>
      </c>
      <c r="AD283" s="10">
        <v>4457.0500049700004</v>
      </c>
      <c r="AE283" s="1" t="s">
        <v>25</v>
      </c>
    </row>
    <row r="284" spans="1:31" x14ac:dyDescent="0.2">
      <c r="A284" s="1" t="s">
        <v>615</v>
      </c>
      <c r="B284" s="2" t="s">
        <v>1408</v>
      </c>
      <c r="C284" s="3">
        <v>-12.714776632302399</v>
      </c>
      <c r="D284" s="2">
        <v>-6.94</v>
      </c>
      <c r="E284" s="2">
        <v>7.3090549999999999</v>
      </c>
      <c r="F284" s="4">
        <v>1.2330000000000001</v>
      </c>
      <c r="G284" s="4">
        <v>12.4692748452439</v>
      </c>
      <c r="H284" s="2" t="s">
        <v>1408</v>
      </c>
      <c r="I284" s="4" t="s">
        <v>1408</v>
      </c>
      <c r="J284" s="4">
        <v>34.087215016901197</v>
      </c>
      <c r="K284" s="4">
        <v>0.82948</v>
      </c>
      <c r="L284" s="4" t="s">
        <v>1408</v>
      </c>
      <c r="N284" s="5" t="s">
        <v>1408</v>
      </c>
      <c r="O284" s="5">
        <v>60672</v>
      </c>
      <c r="P284" s="6" t="e">
        <v>#VALUE!</v>
      </c>
      <c r="Q284" s="1"/>
      <c r="R284" s="7" t="e">
        <f ca="1">_xll.SNL.Clients.Office.Excel.Functions.SPG(A284, "SP_TOTAL_DEBT", "LTM")</f>
        <v>#NAME?</v>
      </c>
      <c r="S284" s="8" t="e">
        <f ca="1">_xll.SNL.Clients.Office.Excel.Functions.SPG(A284, "SP_DEBT_TO_EQUITY", "LTM")</f>
        <v>#NAME?</v>
      </c>
      <c r="U284" s="9" t="e">
        <f t="shared" ca="1" si="4"/>
        <v>#VALUE!</v>
      </c>
      <c r="Y284" s="1"/>
      <c r="Z284" s="1"/>
      <c r="AA284" s="10"/>
      <c r="AB284" s="1" t="s">
        <v>616</v>
      </c>
      <c r="AC284" s="1" t="s">
        <v>34</v>
      </c>
      <c r="AD284" s="10">
        <v>464.95984607999998</v>
      </c>
      <c r="AE284" s="1" t="s">
        <v>25</v>
      </c>
    </row>
    <row r="285" spans="1:31" x14ac:dyDescent="0.2">
      <c r="A285" s="1" t="s">
        <v>617</v>
      </c>
      <c r="B285" s="2" t="s">
        <v>1408</v>
      </c>
      <c r="C285" s="3" t="s">
        <v>1409</v>
      </c>
      <c r="D285" s="2">
        <v>22.183</v>
      </c>
      <c r="E285" s="2" t="s">
        <v>1409</v>
      </c>
      <c r="F285" s="4" t="s">
        <v>1408</v>
      </c>
      <c r="G285" s="4">
        <v>-19.556648891229301</v>
      </c>
      <c r="H285" s="2" t="s">
        <v>1408</v>
      </c>
      <c r="I285" s="4" t="s">
        <v>1408</v>
      </c>
      <c r="J285" s="4">
        <v>-80.606532131284297</v>
      </c>
      <c r="K285" s="4">
        <v>0.49739</v>
      </c>
      <c r="L285" s="4" t="s">
        <v>1408</v>
      </c>
      <c r="N285" s="5" t="s">
        <v>1408</v>
      </c>
      <c r="O285" s="5">
        <v>-199064</v>
      </c>
      <c r="P285" s="6" t="e">
        <v>#VALUE!</v>
      </c>
      <c r="Q285" s="1"/>
      <c r="R285" s="7" t="e">
        <f ca="1">_xll.SNL.Clients.Office.Excel.Functions.SPG(A285, "SP_TOTAL_DEBT", "LTM")</f>
        <v>#NAME?</v>
      </c>
      <c r="S285" s="8" t="e">
        <f ca="1">_xll.SNL.Clients.Office.Excel.Functions.SPG(A285, "SP_DEBT_TO_EQUITY", "LTM")</f>
        <v>#NAME?</v>
      </c>
      <c r="U285" s="9" t="e">
        <f t="shared" ca="1" si="4"/>
        <v>#VALUE!</v>
      </c>
      <c r="Y285" s="1"/>
      <c r="Z285" s="1"/>
      <c r="AA285" s="10"/>
      <c r="AB285" s="1" t="s">
        <v>618</v>
      </c>
      <c r="AC285" s="1" t="s">
        <v>34</v>
      </c>
      <c r="AD285" s="10">
        <v>537.57177095999998</v>
      </c>
      <c r="AE285" s="1" t="s">
        <v>25</v>
      </c>
    </row>
    <row r="286" spans="1:31" x14ac:dyDescent="0.2">
      <c r="A286" s="1" t="s">
        <v>619</v>
      </c>
      <c r="B286" s="2" t="s">
        <v>1408</v>
      </c>
      <c r="C286" s="3">
        <v>-11.538461538461499</v>
      </c>
      <c r="D286" s="2">
        <v>2.3530000000000002</v>
      </c>
      <c r="E286" s="2">
        <v>11.358696</v>
      </c>
      <c r="F286" s="4">
        <v>0.94899999999999995</v>
      </c>
      <c r="G286" s="4">
        <v>10.0132824082025</v>
      </c>
      <c r="H286" s="2" t="s">
        <v>1408</v>
      </c>
      <c r="I286" s="4" t="s">
        <v>1408</v>
      </c>
      <c r="J286" s="4">
        <v>38.675989938156597</v>
      </c>
      <c r="K286" s="4">
        <v>1.0728949999999999</v>
      </c>
      <c r="L286" s="4" t="s">
        <v>1408</v>
      </c>
      <c r="N286" s="5" t="s">
        <v>1408</v>
      </c>
      <c r="O286" s="5">
        <v>234983</v>
      </c>
      <c r="P286" s="6" t="e">
        <v>#VALUE!</v>
      </c>
      <c r="Q286" s="1"/>
      <c r="R286" s="7" t="e">
        <f ca="1">_xll.SNL.Clients.Office.Excel.Functions.SPG(A286, "SP_TOTAL_DEBT", "LTM")</f>
        <v>#NAME?</v>
      </c>
      <c r="S286" s="8" t="e">
        <f ca="1">_xll.SNL.Clients.Office.Excel.Functions.SPG(A286, "SP_DEBT_TO_EQUITY", "LTM")</f>
        <v>#NAME?</v>
      </c>
      <c r="U286" s="9" t="e">
        <f t="shared" ca="1" si="4"/>
        <v>#VALUE!</v>
      </c>
      <c r="Y286" s="1"/>
      <c r="Z286" s="1"/>
      <c r="AA286" s="10"/>
      <c r="AB286" s="1" t="s">
        <v>620</v>
      </c>
      <c r="AC286" s="1" t="s">
        <v>34</v>
      </c>
      <c r="AD286" s="10">
        <v>2768.0509260899998</v>
      </c>
      <c r="AE286" s="1" t="s">
        <v>25</v>
      </c>
    </row>
    <row r="287" spans="1:31" x14ac:dyDescent="0.2">
      <c r="A287" s="1" t="s">
        <v>621</v>
      </c>
      <c r="B287" s="2" t="s">
        <v>1408</v>
      </c>
      <c r="C287" s="3">
        <v>0.65359477124183096</v>
      </c>
      <c r="D287" s="2">
        <v>-4.21</v>
      </c>
      <c r="E287" s="2">
        <v>8.9675320000000003</v>
      </c>
      <c r="F287" s="4">
        <v>1.141</v>
      </c>
      <c r="G287" s="4">
        <v>10.2751263335205</v>
      </c>
      <c r="H287" s="2" t="s">
        <v>1408</v>
      </c>
      <c r="I287" s="4" t="s">
        <v>1408</v>
      </c>
      <c r="J287" s="4" t="s">
        <v>1408</v>
      </c>
      <c r="K287" s="4">
        <v>0.91076999999999997</v>
      </c>
      <c r="L287" s="4" t="s">
        <v>1408</v>
      </c>
      <c r="N287" s="5" t="s">
        <v>1408</v>
      </c>
      <c r="O287" s="5">
        <v>915000</v>
      </c>
      <c r="P287" s="6" t="e">
        <v>#VALUE!</v>
      </c>
      <c r="Q287" s="1"/>
      <c r="R287" s="7" t="e">
        <f ca="1">_xll.SNL.Clients.Office.Excel.Functions.SPG(A287, "SP_TOTAL_DEBT", "LTM")</f>
        <v>#NAME?</v>
      </c>
      <c r="S287" s="8" t="e">
        <f ca="1">_xll.SNL.Clients.Office.Excel.Functions.SPG(A287, "SP_DEBT_TO_EQUITY", "LTM")</f>
        <v>#NAME?</v>
      </c>
      <c r="U287" s="9" t="e">
        <f t="shared" ca="1" si="4"/>
        <v>#VALUE!</v>
      </c>
      <c r="Y287" s="1"/>
      <c r="Z287" s="1"/>
      <c r="AA287" s="10"/>
      <c r="AB287" s="1" t="s">
        <v>622</v>
      </c>
      <c r="AC287" s="1" t="s">
        <v>34</v>
      </c>
      <c r="AD287" s="10">
        <v>7956.8779648</v>
      </c>
      <c r="AE287" s="1" t="s">
        <v>25</v>
      </c>
    </row>
    <row r="288" spans="1:31" x14ac:dyDescent="0.2">
      <c r="A288" s="1" t="s">
        <v>623</v>
      </c>
      <c r="B288" s="2" t="s">
        <v>1408</v>
      </c>
      <c r="C288" s="3">
        <v>26.530612244897998</v>
      </c>
      <c r="D288" s="2">
        <v>-2.56</v>
      </c>
      <c r="E288" s="2">
        <v>10.580645000000001</v>
      </c>
      <c r="F288" s="4">
        <v>0.81799999999999995</v>
      </c>
      <c r="G288" s="4">
        <v>8.1722682408200793</v>
      </c>
      <c r="H288" s="2" t="s">
        <v>1408</v>
      </c>
      <c r="I288" s="4" t="s">
        <v>1408</v>
      </c>
      <c r="J288" s="4">
        <v>35.158639143730902</v>
      </c>
      <c r="K288" s="4">
        <v>0.84506099999999995</v>
      </c>
      <c r="L288" s="4" t="s">
        <v>1408</v>
      </c>
      <c r="N288" s="5" t="s">
        <v>1408</v>
      </c>
      <c r="O288" s="5">
        <v>257500</v>
      </c>
      <c r="P288" s="6" t="e">
        <v>#VALUE!</v>
      </c>
      <c r="Q288" s="1"/>
      <c r="R288" s="7" t="e">
        <f ca="1">_xll.SNL.Clients.Office.Excel.Functions.SPG(A288, "SP_TOTAL_DEBT", "LTM")</f>
        <v>#NAME?</v>
      </c>
      <c r="S288" s="8" t="e">
        <f ca="1">_xll.SNL.Clients.Office.Excel.Functions.SPG(A288, "SP_DEBT_TO_EQUITY", "LTM")</f>
        <v>#NAME?</v>
      </c>
      <c r="U288" s="9" t="e">
        <f t="shared" ca="1" si="4"/>
        <v>#VALUE!</v>
      </c>
      <c r="Y288" s="1"/>
      <c r="Z288" s="1"/>
      <c r="AA288" s="10"/>
      <c r="AB288" s="1" t="s">
        <v>624</v>
      </c>
      <c r="AC288" s="1" t="s">
        <v>34</v>
      </c>
      <c r="AD288" s="10">
        <v>2860.4838399999999</v>
      </c>
      <c r="AE288" s="1" t="s">
        <v>25</v>
      </c>
    </row>
    <row r="289" spans="1:31" x14ac:dyDescent="0.2">
      <c r="A289" s="1" t="s">
        <v>625</v>
      </c>
      <c r="B289" s="2" t="s">
        <v>1408</v>
      </c>
      <c r="C289" s="3">
        <v>-2.0997375328083998</v>
      </c>
      <c r="D289" s="2">
        <v>5.907</v>
      </c>
      <c r="E289" s="2">
        <v>8.9812329999999996</v>
      </c>
      <c r="F289" s="4">
        <v>1.2350000000000001</v>
      </c>
      <c r="G289" s="4">
        <v>10.519907749962201</v>
      </c>
      <c r="H289" s="2" t="s">
        <v>1408</v>
      </c>
      <c r="I289" s="4" t="s">
        <v>1408</v>
      </c>
      <c r="J289" s="4">
        <v>41.308254645141602</v>
      </c>
      <c r="K289" s="4">
        <v>0.89567399999999997</v>
      </c>
      <c r="L289" s="4" t="s">
        <v>1408</v>
      </c>
      <c r="N289" s="5" t="s">
        <v>1408</v>
      </c>
      <c r="O289" s="5">
        <v>223786</v>
      </c>
      <c r="P289" s="6" t="e">
        <v>#VALUE!</v>
      </c>
      <c r="Q289" s="1"/>
      <c r="R289" s="7" t="e">
        <f ca="1">_xll.SNL.Clients.Office.Excel.Functions.SPG(A289, "SP_TOTAL_DEBT", "LTM")</f>
        <v>#NAME?</v>
      </c>
      <c r="S289" s="8" t="e">
        <f ca="1">_xll.SNL.Clients.Office.Excel.Functions.SPG(A289, "SP_DEBT_TO_EQUITY", "LTM")</f>
        <v>#NAME?</v>
      </c>
      <c r="U289" s="9" t="e">
        <f t="shared" ca="1" si="4"/>
        <v>#VALUE!</v>
      </c>
      <c r="Y289" s="1"/>
      <c r="Z289" s="1"/>
      <c r="AA289" s="10"/>
      <c r="AB289" s="1" t="s">
        <v>626</v>
      </c>
      <c r="AC289" s="1" t="s">
        <v>34</v>
      </c>
      <c r="AD289" s="10">
        <v>2009.12956482</v>
      </c>
      <c r="AE289" s="1" t="s">
        <v>25</v>
      </c>
    </row>
    <row r="290" spans="1:31" x14ac:dyDescent="0.2">
      <c r="A290" s="1" t="s">
        <v>627</v>
      </c>
      <c r="B290" s="2" t="s">
        <v>1408</v>
      </c>
      <c r="C290" s="3">
        <v>-12.5</v>
      </c>
      <c r="D290" s="2">
        <v>7.8659999999999997</v>
      </c>
      <c r="E290" s="2">
        <v>9.7650790000000001</v>
      </c>
      <c r="F290" s="4">
        <v>0.96199999999999997</v>
      </c>
      <c r="G290" s="4">
        <v>10.1079305868824</v>
      </c>
      <c r="H290" s="2" t="s">
        <v>1408</v>
      </c>
      <c r="I290" s="4" t="s">
        <v>1408</v>
      </c>
      <c r="J290" s="4" t="s">
        <v>1408</v>
      </c>
      <c r="K290" s="4">
        <v>0.92400099999999996</v>
      </c>
      <c r="L290" s="4" t="s">
        <v>1408</v>
      </c>
      <c r="N290" s="5" t="s">
        <v>1408</v>
      </c>
      <c r="O290" s="5">
        <v>68935</v>
      </c>
      <c r="P290" s="6" t="e">
        <v>#VALUE!</v>
      </c>
      <c r="Q290" s="1"/>
      <c r="R290" s="7" t="e">
        <f ca="1">_xll.SNL.Clients.Office.Excel.Functions.SPG(A290, "SP_TOTAL_DEBT", "LTM")</f>
        <v>#NAME?</v>
      </c>
      <c r="S290" s="8" t="e">
        <f ca="1">_xll.SNL.Clients.Office.Excel.Functions.SPG(A290, "SP_DEBT_TO_EQUITY", "LTM")</f>
        <v>#NAME?</v>
      </c>
      <c r="U290" s="9" t="e">
        <f t="shared" ca="1" si="4"/>
        <v>#VALUE!</v>
      </c>
      <c r="Y290" s="1"/>
      <c r="Z290" s="1"/>
      <c r="AA290" s="10"/>
      <c r="AB290" s="1" t="s">
        <v>628</v>
      </c>
      <c r="AC290" s="1" t="s">
        <v>34</v>
      </c>
      <c r="AD290" s="10">
        <v>749.84000139</v>
      </c>
      <c r="AE290" s="1" t="s">
        <v>25</v>
      </c>
    </row>
    <row r="291" spans="1:31" x14ac:dyDescent="0.2">
      <c r="A291" s="1" t="s">
        <v>629</v>
      </c>
      <c r="B291" s="2" t="s">
        <v>1408</v>
      </c>
      <c r="C291" s="3">
        <v>3.0451332245785698</v>
      </c>
      <c r="D291" s="2">
        <v>12.605</v>
      </c>
      <c r="E291" s="2" t="s">
        <v>1408</v>
      </c>
      <c r="F291" s="4">
        <v>1.0840000000000001</v>
      </c>
      <c r="G291" s="4">
        <v>14.0182235738469</v>
      </c>
      <c r="H291" s="2" t="s">
        <v>1408</v>
      </c>
      <c r="I291" s="4" t="s">
        <v>1408</v>
      </c>
      <c r="J291" s="4" t="s">
        <v>1408</v>
      </c>
      <c r="K291" s="4" t="s">
        <v>1408</v>
      </c>
      <c r="L291" s="4" t="s">
        <v>1408</v>
      </c>
      <c r="N291" s="5" t="s">
        <v>1408</v>
      </c>
      <c r="O291" s="5">
        <v>60010</v>
      </c>
      <c r="P291" s="6" t="e">
        <v>#VALUE!</v>
      </c>
      <c r="Q291" s="1"/>
      <c r="R291" s="7" t="e">
        <f ca="1">_xll.SNL.Clients.Office.Excel.Functions.SPG(A291, "SP_TOTAL_DEBT", "LTM")</f>
        <v>#NAME?</v>
      </c>
      <c r="S291" s="8" t="e">
        <f ca="1">_xll.SNL.Clients.Office.Excel.Functions.SPG(A291, "SP_DEBT_TO_EQUITY", "LTM")</f>
        <v>#NAME?</v>
      </c>
      <c r="U291" s="9" t="e">
        <f t="shared" ca="1" si="4"/>
        <v>#VALUE!</v>
      </c>
      <c r="Y291" s="1"/>
      <c r="Z291" s="1"/>
      <c r="AA291" s="10"/>
      <c r="AB291" s="1" t="s">
        <v>630</v>
      </c>
      <c r="AC291" s="1" t="s">
        <v>34</v>
      </c>
      <c r="AD291" s="10">
        <v>629.41839374999995</v>
      </c>
      <c r="AE291" s="1" t="s">
        <v>25</v>
      </c>
    </row>
    <row r="292" spans="1:31" x14ac:dyDescent="0.2">
      <c r="A292" s="1" t="s">
        <v>631</v>
      </c>
      <c r="B292" s="2" t="s">
        <v>1408</v>
      </c>
      <c r="C292" s="3">
        <v>1.56249999999999</v>
      </c>
      <c r="D292" s="2">
        <v>0.63300000000000001</v>
      </c>
      <c r="E292" s="2">
        <v>9.6195780000000006</v>
      </c>
      <c r="F292" s="4">
        <v>0.57399999999999995</v>
      </c>
      <c r="G292" s="4">
        <v>29.349513276947</v>
      </c>
      <c r="H292" s="2">
        <v>11.45</v>
      </c>
      <c r="I292" s="4">
        <v>1.7000000000000001E-2</v>
      </c>
      <c r="J292" s="4">
        <v>46.213221792573101</v>
      </c>
      <c r="K292" s="4">
        <v>3.3735550000000001</v>
      </c>
      <c r="L292" s="4" t="s">
        <v>1408</v>
      </c>
      <c r="N292" s="5" t="s">
        <v>1408</v>
      </c>
      <c r="O292" s="5">
        <v>251231</v>
      </c>
      <c r="P292" s="6" t="e">
        <v>#VALUE!</v>
      </c>
      <c r="Q292" s="1"/>
      <c r="R292" s="7" t="e">
        <f ca="1">_xll.SNL.Clients.Office.Excel.Functions.SPG(A292, "SP_TOTAL_DEBT", "LTM")</f>
        <v>#NAME?</v>
      </c>
      <c r="S292" s="8" t="e">
        <f ca="1">_xll.SNL.Clients.Office.Excel.Functions.SPG(A292, "SP_DEBT_TO_EQUITY", "LTM")</f>
        <v>#NAME?</v>
      </c>
      <c r="U292" s="9" t="e">
        <f t="shared" ca="1" si="4"/>
        <v>#VALUE!</v>
      </c>
      <c r="Y292" s="1"/>
      <c r="Z292" s="1"/>
      <c r="AA292" s="10"/>
      <c r="AB292" s="1" t="s">
        <v>632</v>
      </c>
      <c r="AC292" s="1" t="s">
        <v>164</v>
      </c>
      <c r="AD292" s="10">
        <v>1817.9961882068001</v>
      </c>
      <c r="AE292" s="1" t="s">
        <v>25</v>
      </c>
    </row>
    <row r="293" spans="1:31" x14ac:dyDescent="0.2">
      <c r="A293" s="1" t="s">
        <v>633</v>
      </c>
      <c r="B293" s="2" t="s">
        <v>1408</v>
      </c>
      <c r="C293" s="3">
        <v>-29.199860161943299</v>
      </c>
      <c r="D293" s="2">
        <v>-0.125</v>
      </c>
      <c r="E293" s="2">
        <v>13.785952999999999</v>
      </c>
      <c r="F293" s="4" t="s">
        <v>1408</v>
      </c>
      <c r="G293" s="4" t="s">
        <v>1408</v>
      </c>
      <c r="H293" s="2" t="s">
        <v>1408</v>
      </c>
      <c r="I293" s="4" t="s">
        <v>1408</v>
      </c>
      <c r="J293" s="4" t="s">
        <v>1408</v>
      </c>
      <c r="K293" s="4" t="s">
        <v>1408</v>
      </c>
      <c r="L293" s="4" t="s">
        <v>1408</v>
      </c>
      <c r="N293" s="5" t="s">
        <v>1408</v>
      </c>
      <c r="O293" s="5">
        <v>227444</v>
      </c>
      <c r="P293" s="6" t="e">
        <v>#VALUE!</v>
      </c>
      <c r="Q293" s="1"/>
      <c r="R293" s="7" t="e">
        <f ca="1">_xll.SNL.Clients.Office.Excel.Functions.SPG(A293, "SP_TOTAL_DEBT", "LTM")</f>
        <v>#NAME?</v>
      </c>
      <c r="S293" s="8" t="e">
        <f ca="1">_xll.SNL.Clients.Office.Excel.Functions.SPG(A293, "SP_DEBT_TO_EQUITY", "LTM")</f>
        <v>#NAME?</v>
      </c>
      <c r="U293" s="9" t="e">
        <f t="shared" ca="1" si="4"/>
        <v>#VALUE!</v>
      </c>
      <c r="Y293" s="1"/>
      <c r="Z293" s="1"/>
      <c r="AA293" s="10"/>
      <c r="AB293" s="1" t="s">
        <v>634</v>
      </c>
      <c r="AC293" s="1" t="s">
        <v>34</v>
      </c>
      <c r="AD293" s="10">
        <v>3187.3604999999998</v>
      </c>
      <c r="AE293" s="1" t="s">
        <v>25</v>
      </c>
    </row>
    <row r="294" spans="1:31" x14ac:dyDescent="0.2">
      <c r="A294" s="1" t="s">
        <v>635</v>
      </c>
      <c r="B294" s="2" t="s">
        <v>1408</v>
      </c>
      <c r="C294" s="3">
        <v>45.738244443442603</v>
      </c>
      <c r="D294" s="2">
        <v>23.890999999999998</v>
      </c>
      <c r="E294" s="2">
        <v>6.2729309999999998</v>
      </c>
      <c r="F294" s="4">
        <v>2.0329999999999999</v>
      </c>
      <c r="G294" s="4">
        <v>21.267182423352502</v>
      </c>
      <c r="H294" s="2" t="s">
        <v>1408</v>
      </c>
      <c r="I294" s="4" t="s">
        <v>1408</v>
      </c>
      <c r="J294" s="4">
        <v>40.501884793483399</v>
      </c>
      <c r="K294" s="4">
        <v>1.2515879999999999</v>
      </c>
      <c r="L294" s="4" t="s">
        <v>1408</v>
      </c>
      <c r="N294" s="5" t="s">
        <v>1408</v>
      </c>
      <c r="O294" s="5">
        <v>269910</v>
      </c>
      <c r="P294" s="6" t="e">
        <v>#VALUE!</v>
      </c>
      <c r="Q294" s="1"/>
      <c r="R294" s="7" t="e">
        <f ca="1">_xll.SNL.Clients.Office.Excel.Functions.SPG(A294, "SP_TOTAL_DEBT", "LTM")</f>
        <v>#NAME?</v>
      </c>
      <c r="S294" s="8" t="e">
        <f ca="1">_xll.SNL.Clients.Office.Excel.Functions.SPG(A294, "SP_DEBT_TO_EQUITY", "LTM")</f>
        <v>#NAME?</v>
      </c>
      <c r="U294" s="9" t="e">
        <f t="shared" ca="1" si="4"/>
        <v>#VALUE!</v>
      </c>
      <c r="Y294" s="1"/>
      <c r="Z294" s="1"/>
      <c r="AA294" s="10"/>
      <c r="AB294" s="1" t="s">
        <v>636</v>
      </c>
      <c r="AC294" s="1" t="s">
        <v>34</v>
      </c>
      <c r="AD294" s="10">
        <v>1652.25457603317</v>
      </c>
      <c r="AE294" s="1" t="s">
        <v>42</v>
      </c>
    </row>
    <row r="295" spans="1:31" x14ac:dyDescent="0.2">
      <c r="A295" s="1" t="s">
        <v>637</v>
      </c>
      <c r="B295" s="2">
        <v>6.52</v>
      </c>
      <c r="C295" s="3">
        <v>-10.4477611940299</v>
      </c>
      <c r="D295" s="2">
        <v>15.494999999999999</v>
      </c>
      <c r="E295" s="2">
        <v>24.131250000000001</v>
      </c>
      <c r="F295" s="4">
        <v>5.9429999999999996</v>
      </c>
      <c r="G295" s="4">
        <v>11.506927015169</v>
      </c>
      <c r="H295" s="2">
        <v>3.8929999999999998</v>
      </c>
      <c r="I295" s="4">
        <v>0.76900000000000002</v>
      </c>
      <c r="J295" s="4">
        <v>9.84525601449924</v>
      </c>
      <c r="K295" s="4">
        <v>2.6170949999999999</v>
      </c>
      <c r="L295" s="4">
        <v>6.5574510000000004</v>
      </c>
      <c r="N295" s="5">
        <v>582444.75</v>
      </c>
      <c r="O295" s="5">
        <v>219301</v>
      </c>
      <c r="P295" s="6">
        <v>2.6559147017113465</v>
      </c>
      <c r="Q295" s="1"/>
      <c r="R295" s="7" t="e">
        <f ca="1">_xll.SNL.Clients.Office.Excel.Functions.SPG(A295, "SP_TOTAL_DEBT", "LTM")</f>
        <v>#NAME?</v>
      </c>
      <c r="S295" s="8" t="e">
        <f ca="1">_xll.SNL.Clients.Office.Excel.Functions.SPG(A295, "SP_DEBT_TO_EQUITY", "LTM")</f>
        <v>#NAME?</v>
      </c>
      <c r="U295" s="9" t="e">
        <f t="shared" ca="1" si="4"/>
        <v>#NAME?</v>
      </c>
      <c r="Y295" s="1"/>
      <c r="Z295" s="1"/>
      <c r="AA295" s="10"/>
      <c r="AB295" s="1" t="s">
        <v>638</v>
      </c>
      <c r="AC295" s="1" t="s">
        <v>161</v>
      </c>
      <c r="AD295" s="10">
        <v>5177.0350602400003</v>
      </c>
      <c r="AE295" s="1" t="s">
        <v>25</v>
      </c>
    </row>
    <row r="296" spans="1:31" x14ac:dyDescent="0.2">
      <c r="A296" s="1" t="s">
        <v>639</v>
      </c>
      <c r="B296" s="2" t="s">
        <v>1408</v>
      </c>
      <c r="C296" s="3">
        <v>64.516129032258107</v>
      </c>
      <c r="D296" s="2">
        <v>13.134</v>
      </c>
      <c r="E296" s="2">
        <v>8.553922</v>
      </c>
      <c r="F296" s="4">
        <v>1.3520000000000001</v>
      </c>
      <c r="G296" s="4">
        <v>12.502445350935</v>
      </c>
      <c r="H296" s="2" t="s">
        <v>1408</v>
      </c>
      <c r="I296" s="4" t="s">
        <v>1408</v>
      </c>
      <c r="J296" s="4" t="s">
        <v>1408</v>
      </c>
      <c r="K296" s="4">
        <v>0.993085</v>
      </c>
      <c r="L296" s="4" t="s">
        <v>1408</v>
      </c>
      <c r="N296" s="5" t="s">
        <v>1408</v>
      </c>
      <c r="O296" s="5">
        <v>103533</v>
      </c>
      <c r="P296" s="6" t="e">
        <v>#VALUE!</v>
      </c>
      <c r="Q296" s="1"/>
      <c r="R296" s="7" t="e">
        <f ca="1">_xll.SNL.Clients.Office.Excel.Functions.SPG(A296, "SP_TOTAL_DEBT", "LTM")</f>
        <v>#NAME?</v>
      </c>
      <c r="S296" s="8" t="e">
        <f ca="1">_xll.SNL.Clients.Office.Excel.Functions.SPG(A296, "SP_DEBT_TO_EQUITY", "LTM")</f>
        <v>#NAME?</v>
      </c>
      <c r="U296" s="9" t="e">
        <f t="shared" ca="1" si="4"/>
        <v>#VALUE!</v>
      </c>
      <c r="Y296" s="1"/>
      <c r="Z296" s="1"/>
      <c r="AA296" s="10"/>
      <c r="AB296" s="1" t="s">
        <v>640</v>
      </c>
      <c r="AC296" s="1" t="s">
        <v>34</v>
      </c>
      <c r="AD296" s="10">
        <v>987.19837199999995</v>
      </c>
      <c r="AE296" s="1" t="s">
        <v>25</v>
      </c>
    </row>
    <row r="297" spans="1:31" x14ac:dyDescent="0.2">
      <c r="A297" s="1" t="s">
        <v>641</v>
      </c>
      <c r="B297" s="2" t="s">
        <v>1408</v>
      </c>
      <c r="C297" s="3">
        <v>6.5134099616858201</v>
      </c>
      <c r="D297" s="2">
        <v>10.494</v>
      </c>
      <c r="E297" s="2">
        <v>8.0827340000000003</v>
      </c>
      <c r="F297" s="4">
        <v>1.4</v>
      </c>
      <c r="G297" s="4">
        <v>17.851226070404199</v>
      </c>
      <c r="H297" s="2" t="s">
        <v>1408</v>
      </c>
      <c r="I297" s="4" t="s">
        <v>1408</v>
      </c>
      <c r="J297" s="4">
        <v>56.329391521449402</v>
      </c>
      <c r="K297" s="4">
        <v>1.356884</v>
      </c>
      <c r="L297" s="4" t="s">
        <v>1408</v>
      </c>
      <c r="N297" s="5" t="s">
        <v>1408</v>
      </c>
      <c r="O297" s="5">
        <v>47734</v>
      </c>
      <c r="P297" s="6" t="e">
        <v>#VALUE!</v>
      </c>
      <c r="Q297" s="1"/>
      <c r="R297" s="7" t="e">
        <f ca="1">_xll.SNL.Clients.Office.Excel.Functions.SPG(A297, "SP_TOTAL_DEBT", "LTM")</f>
        <v>#NAME?</v>
      </c>
      <c r="S297" s="8" t="e">
        <f ca="1">_xll.SNL.Clients.Office.Excel.Functions.SPG(A297, "SP_DEBT_TO_EQUITY", "LTM")</f>
        <v>#NAME?</v>
      </c>
      <c r="U297" s="9" t="e">
        <f t="shared" ca="1" si="4"/>
        <v>#VALUE!</v>
      </c>
      <c r="Y297" s="1"/>
      <c r="Z297" s="1"/>
      <c r="AA297" s="10"/>
      <c r="AB297" s="1" t="s">
        <v>642</v>
      </c>
      <c r="AC297" s="1" t="s">
        <v>34</v>
      </c>
      <c r="AD297" s="10">
        <v>411.23404786999998</v>
      </c>
      <c r="AE297" s="1" t="s">
        <v>25</v>
      </c>
    </row>
    <row r="298" spans="1:31" x14ac:dyDescent="0.2">
      <c r="A298" s="1" t="s">
        <v>643</v>
      </c>
      <c r="B298" s="2">
        <v>9.6890000000000001</v>
      </c>
      <c r="C298" s="3">
        <v>24.324324324324301</v>
      </c>
      <c r="D298" s="2">
        <v>20.94</v>
      </c>
      <c r="E298" s="2">
        <v>22.494904999999999</v>
      </c>
      <c r="F298" s="4">
        <v>6.7309999999999999</v>
      </c>
      <c r="G298" s="4">
        <v>36.275254798374299</v>
      </c>
      <c r="H298" s="2">
        <v>1.018</v>
      </c>
      <c r="I298" s="4">
        <v>0.249</v>
      </c>
      <c r="J298" s="4" t="s">
        <v>1408</v>
      </c>
      <c r="K298" s="4">
        <v>6.772945</v>
      </c>
      <c r="L298" s="4">
        <v>13.922076000000001</v>
      </c>
      <c r="N298" s="5">
        <v>1058468.5</v>
      </c>
      <c r="O298" s="5">
        <v>951352</v>
      </c>
      <c r="P298" s="6">
        <v>1.1125939715268376</v>
      </c>
      <c r="Q298" s="1"/>
      <c r="R298" s="7" t="e">
        <f ca="1">_xll.SNL.Clients.Office.Excel.Functions.SPG(A298, "SP_TOTAL_DEBT", "LTM")</f>
        <v>#NAME?</v>
      </c>
      <c r="S298" s="8" t="e">
        <f ca="1">_xll.SNL.Clients.Office.Excel.Functions.SPG(A298, "SP_DEBT_TO_EQUITY", "LTM")</f>
        <v>#NAME?</v>
      </c>
      <c r="U298" s="9" t="e">
        <f t="shared" ca="1" si="4"/>
        <v>#NAME?</v>
      </c>
      <c r="Y298" s="1"/>
      <c r="Z298" s="1"/>
      <c r="AA298" s="10"/>
      <c r="AB298" s="1" t="s">
        <v>644</v>
      </c>
      <c r="AC298" s="1" t="s">
        <v>57</v>
      </c>
      <c r="AD298" s="10">
        <v>20934.142541109999</v>
      </c>
      <c r="AE298" s="1" t="s">
        <v>25</v>
      </c>
    </row>
    <row r="299" spans="1:31" x14ac:dyDescent="0.2">
      <c r="A299" s="1" t="s">
        <v>645</v>
      </c>
      <c r="B299" s="2" t="s">
        <v>1408</v>
      </c>
      <c r="C299" s="3">
        <v>-61.6</v>
      </c>
      <c r="D299" s="2">
        <v>-23.062999999999999</v>
      </c>
      <c r="E299" s="2">
        <v>14.227556999999999</v>
      </c>
      <c r="F299" s="4">
        <v>0.33800000000000002</v>
      </c>
      <c r="G299" s="4">
        <v>4.2455687690605499</v>
      </c>
      <c r="H299" s="2" t="s">
        <v>1408</v>
      </c>
      <c r="I299" s="4" t="s">
        <v>1408</v>
      </c>
      <c r="J299" s="4">
        <v>19.494260671758301</v>
      </c>
      <c r="K299" s="4">
        <v>0.58737300000000003</v>
      </c>
      <c r="L299" s="4" t="s">
        <v>1408</v>
      </c>
      <c r="N299" s="5" t="s">
        <v>1408</v>
      </c>
      <c r="O299" s="5">
        <v>28664</v>
      </c>
      <c r="P299" s="6" t="e">
        <v>#VALUE!</v>
      </c>
      <c r="Q299" s="1"/>
      <c r="R299" s="7" t="e">
        <f ca="1">_xll.SNL.Clients.Office.Excel.Functions.SPG(A299, "SP_TOTAL_DEBT", "LTM")</f>
        <v>#NAME?</v>
      </c>
      <c r="S299" s="8" t="e">
        <f ca="1">_xll.SNL.Clients.Office.Excel.Functions.SPG(A299, "SP_DEBT_TO_EQUITY", "LTM")</f>
        <v>#NAME?</v>
      </c>
      <c r="U299" s="9" t="e">
        <f t="shared" ca="1" si="4"/>
        <v>#VALUE!</v>
      </c>
      <c r="Y299" s="1"/>
      <c r="Z299" s="1"/>
      <c r="AA299" s="10"/>
      <c r="AB299" s="1" t="s">
        <v>646</v>
      </c>
      <c r="AC299" s="1" t="s">
        <v>34</v>
      </c>
      <c r="AD299" s="10">
        <v>462.72197999999997</v>
      </c>
      <c r="AE299" s="1" t="s">
        <v>25</v>
      </c>
    </row>
    <row r="300" spans="1:31" x14ac:dyDescent="0.2">
      <c r="A300" s="1" t="s">
        <v>647</v>
      </c>
      <c r="B300" s="2">
        <v>-4.1559999999999997</v>
      </c>
      <c r="C300" s="3" t="s">
        <v>1409</v>
      </c>
      <c r="D300" s="2">
        <v>43.860999999999997</v>
      </c>
      <c r="E300" s="2" t="s">
        <v>1409</v>
      </c>
      <c r="F300" s="4">
        <v>-1.8460000000000001</v>
      </c>
      <c r="G300" s="4">
        <v>-8.2953496118703196</v>
      </c>
      <c r="H300" s="2">
        <v>3.9689999999999999</v>
      </c>
      <c r="I300" s="4">
        <v>0.46300000000000002</v>
      </c>
      <c r="J300" s="4" t="s">
        <v>1408</v>
      </c>
      <c r="K300" s="4">
        <v>3.4219580000000001</v>
      </c>
      <c r="L300" s="4" t="s">
        <v>1409</v>
      </c>
      <c r="N300" s="5">
        <v>53362.625</v>
      </c>
      <c r="O300" s="5">
        <v>-10982</v>
      </c>
      <c r="P300" s="6">
        <v>-4.8590989801493354</v>
      </c>
      <c r="Q300" s="1"/>
      <c r="R300" s="7" t="e">
        <f ca="1">_xll.SNL.Clients.Office.Excel.Functions.SPG(A300, "SP_TOTAL_DEBT", "LTM")</f>
        <v>#NAME?</v>
      </c>
      <c r="S300" s="8" t="e">
        <f ca="1">_xll.SNL.Clients.Office.Excel.Functions.SPG(A300, "SP_DEBT_TO_EQUITY", "LTM")</f>
        <v>#NAME?</v>
      </c>
      <c r="U300" s="9" t="e">
        <f t="shared" ca="1" si="4"/>
        <v>#NAME?</v>
      </c>
      <c r="Y300" s="1"/>
      <c r="Z300" s="1"/>
      <c r="AA300" s="10"/>
      <c r="AB300" s="1" t="s">
        <v>648</v>
      </c>
      <c r="AC300" s="1" t="s">
        <v>57</v>
      </c>
      <c r="AD300" s="10">
        <v>2594.59982756</v>
      </c>
      <c r="AE300" s="1" t="s">
        <v>25</v>
      </c>
    </row>
    <row r="301" spans="1:31" x14ac:dyDescent="0.2">
      <c r="A301" s="1" t="s">
        <v>649</v>
      </c>
      <c r="B301" s="2">
        <v>-3.5000000000000003E-2</v>
      </c>
      <c r="C301" s="3" t="s">
        <v>1408</v>
      </c>
      <c r="D301" s="2" t="s">
        <v>1408</v>
      </c>
      <c r="E301" s="2" t="s">
        <v>1408</v>
      </c>
      <c r="F301" s="4">
        <v>-6.3E-2</v>
      </c>
      <c r="G301" s="4" t="s">
        <v>1408</v>
      </c>
      <c r="H301" s="2">
        <v>0.35599999999999998</v>
      </c>
      <c r="I301" s="4" t="s">
        <v>1408</v>
      </c>
      <c r="J301" s="4" t="s">
        <v>1408</v>
      </c>
      <c r="K301" s="4">
        <v>0.37309399999999998</v>
      </c>
      <c r="L301" s="4">
        <v>4.9019190000000004</v>
      </c>
      <c r="N301" s="5">
        <v>-13654.875</v>
      </c>
      <c r="O301" s="5">
        <v>182820</v>
      </c>
      <c r="P301" s="6">
        <v>-7.4690269117164421E-2</v>
      </c>
      <c r="Q301" s="1"/>
      <c r="R301" s="7" t="e">
        <f ca="1">_xll.SNL.Clients.Office.Excel.Functions.SPG(A301, "SP_TOTAL_DEBT", "LTM")</f>
        <v>#NAME?</v>
      </c>
      <c r="S301" s="8" t="e">
        <f ca="1">_xll.SNL.Clients.Office.Excel.Functions.SPG(A301, "SP_DEBT_TO_EQUITY", "LTM")</f>
        <v>#NAME?</v>
      </c>
      <c r="U301" s="9" t="e">
        <f t="shared" ca="1" si="4"/>
        <v>#NAME?</v>
      </c>
      <c r="Y301" s="1"/>
      <c r="Z301" s="1"/>
      <c r="AA301" s="10"/>
      <c r="AB301" s="1" t="s">
        <v>650</v>
      </c>
      <c r="AC301" s="1" t="s">
        <v>123</v>
      </c>
      <c r="AD301" s="10">
        <v>757.42951213495905</v>
      </c>
      <c r="AE301" s="1" t="s">
        <v>42</v>
      </c>
    </row>
    <row r="302" spans="1:31" x14ac:dyDescent="0.2">
      <c r="A302" s="1" t="s">
        <v>651</v>
      </c>
      <c r="B302" s="2">
        <v>-26.007000000000001</v>
      </c>
      <c r="C302" s="3" t="s">
        <v>1408</v>
      </c>
      <c r="D302" s="2">
        <v>-45.817999999999998</v>
      </c>
      <c r="E302" s="2" t="s">
        <v>1409</v>
      </c>
      <c r="F302" s="4">
        <v>-17.052</v>
      </c>
      <c r="G302" s="4" t="s">
        <v>1408</v>
      </c>
      <c r="H302" s="2">
        <v>8.234</v>
      </c>
      <c r="I302" s="4">
        <v>0.19600000000000001</v>
      </c>
      <c r="J302" s="4" t="s">
        <v>1408</v>
      </c>
      <c r="K302" s="4">
        <v>1.093067</v>
      </c>
      <c r="L302" s="4" t="s">
        <v>1409</v>
      </c>
      <c r="N302" s="5">
        <v>-12320.125</v>
      </c>
      <c r="O302" s="5">
        <v>-91482</v>
      </c>
      <c r="P302" s="6">
        <v>0.13467266784722678</v>
      </c>
      <c r="Q302" s="1"/>
      <c r="R302" s="7" t="e">
        <f ca="1">_xll.SNL.Clients.Office.Excel.Functions.SPG(A302, "SP_TOTAL_DEBT", "LTM")</f>
        <v>#NAME?</v>
      </c>
      <c r="S302" s="8" t="e">
        <f ca="1">_xll.SNL.Clients.Office.Excel.Functions.SPG(A302, "SP_DEBT_TO_EQUITY", "LTM")</f>
        <v>#NAME?</v>
      </c>
      <c r="U302" s="9" t="e">
        <f t="shared" ca="1" si="4"/>
        <v>#NAME?</v>
      </c>
      <c r="Y302" s="1"/>
      <c r="Z302" s="1"/>
      <c r="AA302" s="10"/>
      <c r="AB302" s="1" t="s">
        <v>652</v>
      </c>
      <c r="AC302" s="1" t="s">
        <v>174</v>
      </c>
      <c r="AD302" s="10">
        <v>336.52338816000002</v>
      </c>
      <c r="AE302" s="1" t="s">
        <v>25</v>
      </c>
    </row>
    <row r="303" spans="1:31" x14ac:dyDescent="0.2">
      <c r="A303" s="1" t="s">
        <v>653</v>
      </c>
      <c r="B303" s="2" t="s">
        <v>1408</v>
      </c>
      <c r="C303" s="3" t="s">
        <v>1409</v>
      </c>
      <c r="D303" s="2">
        <v>20.852</v>
      </c>
      <c r="E303" s="2">
        <v>9.1257230000000007</v>
      </c>
      <c r="F303" s="4">
        <v>2.35</v>
      </c>
      <c r="G303" s="4">
        <v>0.87903287831864496</v>
      </c>
      <c r="H303" s="2">
        <v>1.4179999999999999</v>
      </c>
      <c r="I303" s="4">
        <v>3.7999999999999999E-2</v>
      </c>
      <c r="J303" s="4" t="s">
        <v>1408</v>
      </c>
      <c r="K303" s="4">
        <v>0.80154899999999996</v>
      </c>
      <c r="L303" s="4" t="s">
        <v>1408</v>
      </c>
      <c r="N303" s="5" t="s">
        <v>1408</v>
      </c>
      <c r="O303" s="5">
        <v>141651</v>
      </c>
      <c r="P303" s="6" t="e">
        <v>#VALUE!</v>
      </c>
      <c r="Q303" s="1"/>
      <c r="R303" s="7" t="e">
        <f ca="1">_xll.SNL.Clients.Office.Excel.Functions.SPG(A303, "SP_TOTAL_DEBT", "LTM")</f>
        <v>#NAME?</v>
      </c>
      <c r="S303" s="8" t="e">
        <f ca="1">_xll.SNL.Clients.Office.Excel.Functions.SPG(A303, "SP_DEBT_TO_EQUITY", "LTM")</f>
        <v>#NAME?</v>
      </c>
      <c r="U303" s="9" t="e">
        <f t="shared" ca="1" si="4"/>
        <v>#VALUE!</v>
      </c>
      <c r="Y303" s="1"/>
      <c r="Z303" s="1"/>
      <c r="AA303" s="10"/>
      <c r="AB303" s="1" t="s">
        <v>654</v>
      </c>
      <c r="AC303" s="1" t="s">
        <v>65</v>
      </c>
      <c r="AD303" s="10">
        <v>1052.1781676000001</v>
      </c>
      <c r="AE303" s="1" t="s">
        <v>25</v>
      </c>
    </row>
    <row r="304" spans="1:31" x14ac:dyDescent="0.2">
      <c r="A304" s="1" t="s">
        <v>655</v>
      </c>
      <c r="B304" s="2">
        <v>5.3849999999999998</v>
      </c>
      <c r="C304" s="3">
        <v>-32.015810276679801</v>
      </c>
      <c r="D304" s="2">
        <v>-5.1470000000000002</v>
      </c>
      <c r="E304" s="2">
        <v>14.030557999999999</v>
      </c>
      <c r="F304" s="4">
        <v>3.0449999999999999</v>
      </c>
      <c r="G304" s="4">
        <v>8.8341524780001901</v>
      </c>
      <c r="H304" s="2">
        <v>5.1719999999999997</v>
      </c>
      <c r="I304" s="4">
        <v>0.26600000000000001</v>
      </c>
      <c r="J304" s="4" t="s">
        <v>1408</v>
      </c>
      <c r="K304" s="4">
        <v>1.097737</v>
      </c>
      <c r="L304" s="4">
        <v>7.2427950000000001</v>
      </c>
      <c r="N304" s="5">
        <v>985050</v>
      </c>
      <c r="O304" s="5">
        <v>1190900</v>
      </c>
      <c r="P304" s="6">
        <v>0.82714753547737008</v>
      </c>
      <c r="Q304" s="1"/>
      <c r="R304" s="7" t="e">
        <f ca="1">_xll.SNL.Clients.Office.Excel.Functions.SPG(A304, "SP_TOTAL_DEBT", "LTM")</f>
        <v>#NAME?</v>
      </c>
      <c r="S304" s="8" t="e">
        <f ca="1">_xll.SNL.Clients.Office.Excel.Functions.SPG(A304, "SP_DEBT_TO_EQUITY", "LTM")</f>
        <v>#NAME?</v>
      </c>
      <c r="U304" s="9" t="e">
        <f t="shared" ca="1" si="4"/>
        <v>#NAME?</v>
      </c>
      <c r="Y304" s="1"/>
      <c r="Z304" s="1"/>
      <c r="AA304" s="10"/>
      <c r="AB304" s="1" t="s">
        <v>656</v>
      </c>
      <c r="AC304" s="1" t="s">
        <v>37</v>
      </c>
      <c r="AD304" s="10">
        <v>14022.23748949</v>
      </c>
      <c r="AE304" s="1" t="s">
        <v>25</v>
      </c>
    </row>
    <row r="305" spans="1:31" x14ac:dyDescent="0.2">
      <c r="A305" s="1" t="s">
        <v>657</v>
      </c>
      <c r="B305" s="2">
        <v>-7.29</v>
      </c>
      <c r="C305" s="3" t="s">
        <v>1408</v>
      </c>
      <c r="D305" s="2" t="s">
        <v>1409</v>
      </c>
      <c r="E305" s="2" t="s">
        <v>1409</v>
      </c>
      <c r="F305" s="4">
        <v>-14.159000000000001</v>
      </c>
      <c r="G305" s="4" t="s">
        <v>1408</v>
      </c>
      <c r="H305" s="2">
        <v>110.99299999999999</v>
      </c>
      <c r="I305" s="4" t="s">
        <v>1409</v>
      </c>
      <c r="J305" s="4" t="s">
        <v>1408</v>
      </c>
      <c r="K305" s="4">
        <v>1.535509</v>
      </c>
      <c r="L305" s="4" t="s">
        <v>1409</v>
      </c>
      <c r="N305" s="5">
        <v>-61412.39</v>
      </c>
      <c r="O305" s="5">
        <v>-92071.073999999993</v>
      </c>
      <c r="P305" s="6">
        <v>0.66701068350739567</v>
      </c>
      <c r="Q305" s="1"/>
      <c r="R305" s="7" t="e">
        <f ca="1">_xll.SNL.Clients.Office.Excel.Functions.SPG(A305, "SP_TOTAL_DEBT", "LTM")</f>
        <v>#NAME?</v>
      </c>
      <c r="S305" s="8" t="e">
        <f ca="1">_xll.SNL.Clients.Office.Excel.Functions.SPG(A305, "SP_DEBT_TO_EQUITY", "LTM")</f>
        <v>#NAME?</v>
      </c>
      <c r="U305" s="9" t="e">
        <f t="shared" ca="1" si="4"/>
        <v>#NAME?</v>
      </c>
      <c r="Y305" s="1"/>
      <c r="Z305" s="1"/>
      <c r="AA305" s="10"/>
      <c r="AB305" s="1" t="s">
        <v>658</v>
      </c>
      <c r="AC305" s="1" t="s">
        <v>37</v>
      </c>
      <c r="AD305" s="10">
        <v>316.96402319999999</v>
      </c>
      <c r="AE305" s="1" t="s">
        <v>25</v>
      </c>
    </row>
    <row r="306" spans="1:31" x14ac:dyDescent="0.2">
      <c r="A306" s="1" t="s">
        <v>659</v>
      </c>
      <c r="B306" s="2" t="s">
        <v>1408</v>
      </c>
      <c r="C306" s="3">
        <v>-1.79640718562874</v>
      </c>
      <c r="D306" s="2">
        <v>4.875</v>
      </c>
      <c r="E306" s="2">
        <v>9.2804880000000001</v>
      </c>
      <c r="F306" s="4">
        <v>1.0429999999999999</v>
      </c>
      <c r="G306" s="4">
        <v>10.8039946048436</v>
      </c>
      <c r="H306" s="2" t="s">
        <v>1408</v>
      </c>
      <c r="I306" s="4" t="s">
        <v>1408</v>
      </c>
      <c r="J306" s="4">
        <v>33.191650110788203</v>
      </c>
      <c r="K306" s="4">
        <v>0.97495399999999999</v>
      </c>
      <c r="L306" s="4" t="s">
        <v>1408</v>
      </c>
      <c r="N306" s="5" t="s">
        <v>1408</v>
      </c>
      <c r="O306" s="5">
        <v>284280</v>
      </c>
      <c r="P306" s="6" t="e">
        <v>#VALUE!</v>
      </c>
      <c r="Q306" s="1"/>
      <c r="R306" s="7" t="e">
        <f ca="1">_xll.SNL.Clients.Office.Excel.Functions.SPG(A306, "SP_TOTAL_DEBT", "LTM")</f>
        <v>#NAME?</v>
      </c>
      <c r="S306" s="8" t="e">
        <f ca="1">_xll.SNL.Clients.Office.Excel.Functions.SPG(A306, "SP_DEBT_TO_EQUITY", "LTM")</f>
        <v>#NAME?</v>
      </c>
      <c r="U306" s="9" t="e">
        <f t="shared" ca="1" si="4"/>
        <v>#VALUE!</v>
      </c>
      <c r="Y306" s="1"/>
      <c r="Z306" s="1"/>
      <c r="AA306" s="10"/>
      <c r="AB306" s="1" t="s">
        <v>660</v>
      </c>
      <c r="AC306" s="1" t="s">
        <v>34</v>
      </c>
      <c r="AD306" s="10">
        <v>2553.6575899999998</v>
      </c>
      <c r="AE306" s="1" t="s">
        <v>25</v>
      </c>
    </row>
    <row r="307" spans="1:31" x14ac:dyDescent="0.2">
      <c r="A307" s="1" t="s">
        <v>661</v>
      </c>
      <c r="B307" s="2">
        <v>0</v>
      </c>
      <c r="C307" s="3" t="s">
        <v>1408</v>
      </c>
      <c r="D307" s="2" t="s">
        <v>1408</v>
      </c>
      <c r="E307" s="2" t="s">
        <v>1409</v>
      </c>
      <c r="F307" s="4">
        <v>0</v>
      </c>
      <c r="G307" s="4" t="s">
        <v>1408</v>
      </c>
      <c r="H307" s="2">
        <v>1.5229999999999999</v>
      </c>
      <c r="I307" s="4" t="s">
        <v>1408</v>
      </c>
      <c r="J307" s="4" t="s">
        <v>1408</v>
      </c>
      <c r="K307" s="4">
        <v>1.9225300000000001</v>
      </c>
      <c r="L307" s="4" t="s">
        <v>1408</v>
      </c>
      <c r="N307" s="5">
        <v>10385</v>
      </c>
      <c r="O307" s="5">
        <v>-107268</v>
      </c>
      <c r="P307" s="6">
        <v>-9.6813588395420813E-2</v>
      </c>
      <c r="Q307" s="1"/>
      <c r="R307" s="7" t="e">
        <f ca="1">_xll.SNL.Clients.Office.Excel.Functions.SPG(A307, "SP_TOTAL_DEBT", "LTM")</f>
        <v>#NAME?</v>
      </c>
      <c r="S307" s="8" t="e">
        <f ca="1">_xll.SNL.Clients.Office.Excel.Functions.SPG(A307, "SP_DEBT_TO_EQUITY", "LTM")</f>
        <v>#NAME?</v>
      </c>
      <c r="U307" s="9" t="e">
        <f t="shared" ca="1" si="4"/>
        <v>#NAME?</v>
      </c>
      <c r="Y307" s="1"/>
      <c r="Z307" s="1"/>
      <c r="AA307" s="10"/>
      <c r="AB307" s="1" t="s">
        <v>662</v>
      </c>
      <c r="AC307" s="1" t="s">
        <v>37</v>
      </c>
      <c r="AD307" s="10">
        <v>785.90883692979298</v>
      </c>
      <c r="AE307" s="1" t="s">
        <v>25</v>
      </c>
    </row>
    <row r="308" spans="1:31" x14ac:dyDescent="0.2">
      <c r="A308" s="1" t="s">
        <v>663</v>
      </c>
      <c r="B308" s="2">
        <v>38.366999999999997</v>
      </c>
      <c r="C308" s="3">
        <v>-5.17928286852589</v>
      </c>
      <c r="D308" s="2">
        <v>-14.074</v>
      </c>
      <c r="E308" s="2">
        <v>7.1106800000000003</v>
      </c>
      <c r="F308" s="4" t="s">
        <v>1408</v>
      </c>
      <c r="G308" s="4">
        <v>37.567886935055498</v>
      </c>
      <c r="H308" s="2" t="s">
        <v>1408</v>
      </c>
      <c r="I308" s="4" t="s">
        <v>1408</v>
      </c>
      <c r="J308" s="4" t="s">
        <v>1408</v>
      </c>
      <c r="K308" s="4">
        <v>2.6640480000000002</v>
      </c>
      <c r="L308" s="4" t="s">
        <v>1408</v>
      </c>
      <c r="N308" s="5" t="s">
        <v>1408</v>
      </c>
      <c r="O308" s="5">
        <v>60207</v>
      </c>
      <c r="P308" s="6" t="e">
        <v>#VALUE!</v>
      </c>
      <c r="Q308" s="1"/>
      <c r="R308" s="7" t="e">
        <f ca="1">_xll.SNL.Clients.Office.Excel.Functions.SPG(A308, "SP_TOTAL_DEBT", "LTM")</f>
        <v>#NAME?</v>
      </c>
      <c r="S308" s="8" t="e">
        <f ca="1">_xll.SNL.Clients.Office.Excel.Functions.SPG(A308, "SP_DEBT_TO_EQUITY", "LTM")</f>
        <v>#NAME?</v>
      </c>
      <c r="U308" s="9" t="e">
        <f t="shared" ca="1" si="4"/>
        <v>#VALUE!</v>
      </c>
      <c r="Y308" s="1"/>
      <c r="Z308" s="1"/>
      <c r="AA308" s="10"/>
      <c r="AB308" s="1" t="s">
        <v>664</v>
      </c>
      <c r="AC308" s="1" t="s">
        <v>37</v>
      </c>
      <c r="AD308" s="10">
        <v>465.56250506999999</v>
      </c>
      <c r="AE308" s="1" t="s">
        <v>25</v>
      </c>
    </row>
    <row r="309" spans="1:31" x14ac:dyDescent="0.2">
      <c r="A309" s="1" t="s">
        <v>665</v>
      </c>
      <c r="B309" s="2">
        <v>0.254</v>
      </c>
      <c r="C309" s="3" t="s">
        <v>1408</v>
      </c>
      <c r="D309" s="2">
        <v>17.861999999999998</v>
      </c>
      <c r="E309" s="2">
        <v>4.3925049999999999</v>
      </c>
      <c r="F309" s="4">
        <v>0.48599999999999999</v>
      </c>
      <c r="G309" s="4" t="s">
        <v>1408</v>
      </c>
      <c r="H309" s="2">
        <v>0.28000000000000003</v>
      </c>
      <c r="I309" s="4">
        <v>1.9E-2</v>
      </c>
      <c r="J309" s="4" t="s">
        <v>1408</v>
      </c>
      <c r="K309" s="4">
        <v>0.90012499999999995</v>
      </c>
      <c r="L309" s="4">
        <v>108.380014</v>
      </c>
      <c r="N309" s="5" t="s">
        <v>1408</v>
      </c>
      <c r="O309" s="5">
        <v>249826.11300000001</v>
      </c>
      <c r="P309" s="6" t="e">
        <v>#VALUE!</v>
      </c>
      <c r="Q309" s="1"/>
      <c r="R309" s="7" t="e">
        <f ca="1">_xll.SNL.Clients.Office.Excel.Functions.SPG(A309, "SP_TOTAL_DEBT", "LTM")</f>
        <v>#NAME?</v>
      </c>
      <c r="S309" s="8" t="e">
        <f ca="1">_xll.SNL.Clients.Office.Excel.Functions.SPG(A309, "SP_DEBT_TO_EQUITY", "LTM")</f>
        <v>#NAME?</v>
      </c>
      <c r="U309" s="9" t="e">
        <f t="shared" ca="1" si="4"/>
        <v>#VALUE!</v>
      </c>
      <c r="Y309" s="1"/>
      <c r="Z309" s="1"/>
      <c r="AA309" s="10"/>
      <c r="AB309" s="1" t="s">
        <v>666</v>
      </c>
      <c r="AC309" s="1" t="s">
        <v>37</v>
      </c>
      <c r="AD309" s="10">
        <v>1031.8814475199999</v>
      </c>
      <c r="AE309" s="1" t="s">
        <v>25</v>
      </c>
    </row>
    <row r="310" spans="1:31" x14ac:dyDescent="0.2">
      <c r="A310" s="1" t="s">
        <v>667</v>
      </c>
      <c r="B310" s="2" t="s">
        <v>1408</v>
      </c>
      <c r="C310" s="3" t="s">
        <v>1408</v>
      </c>
      <c r="D310" s="2">
        <v>16.684999999999999</v>
      </c>
      <c r="E310" s="2">
        <v>7.273828</v>
      </c>
      <c r="F310" s="4">
        <v>5.93</v>
      </c>
      <c r="G310" s="4" t="s">
        <v>1408</v>
      </c>
      <c r="H310" s="2" t="s">
        <v>1408</v>
      </c>
      <c r="I310" s="4" t="s">
        <v>1408</v>
      </c>
      <c r="J310" s="4" t="s">
        <v>1408</v>
      </c>
      <c r="K310" s="4">
        <v>1.5311129999999999</v>
      </c>
      <c r="L310" s="4" t="s">
        <v>1408</v>
      </c>
      <c r="N310" s="5" t="s">
        <v>1408</v>
      </c>
      <c r="O310" s="5">
        <v>4649000</v>
      </c>
      <c r="P310" s="6" t="e">
        <v>#VALUE!</v>
      </c>
      <c r="Q310" s="1"/>
      <c r="R310" s="7" t="e">
        <f ca="1">_xll.SNL.Clients.Office.Excel.Functions.SPG(A310, "SP_TOTAL_DEBT", "LTM")</f>
        <v>#NAME?</v>
      </c>
      <c r="S310" s="8" t="e">
        <f ca="1">_xll.SNL.Clients.Office.Excel.Functions.SPG(A310, "SP_DEBT_TO_EQUITY", "LTM")</f>
        <v>#NAME?</v>
      </c>
      <c r="U310" s="9" t="e">
        <f t="shared" ca="1" si="4"/>
        <v>#VALUE!</v>
      </c>
      <c r="Y310" s="1"/>
      <c r="Z310" s="1"/>
      <c r="AA310" s="10"/>
      <c r="AB310" s="1" t="s">
        <v>668</v>
      </c>
      <c r="AC310" s="1" t="s">
        <v>161</v>
      </c>
      <c r="AD310" s="10">
        <v>2153.7569259766701</v>
      </c>
      <c r="AE310" s="1" t="s">
        <v>42</v>
      </c>
    </row>
    <row r="311" spans="1:31" x14ac:dyDescent="0.2">
      <c r="A311" s="1" t="s">
        <v>669</v>
      </c>
      <c r="B311" s="2">
        <v>4.8129999999999997</v>
      </c>
      <c r="C311" s="3">
        <v>4.0697674418604697</v>
      </c>
      <c r="D311" s="2">
        <v>-4.1500000000000004</v>
      </c>
      <c r="E311" s="2">
        <v>8.3809520000000006</v>
      </c>
      <c r="F311" s="4">
        <v>0.63</v>
      </c>
      <c r="G311" s="4">
        <v>9.7921737502340402</v>
      </c>
      <c r="H311" s="2">
        <v>10.694000000000001</v>
      </c>
      <c r="I311" s="4">
        <v>8.6999999999999994E-2</v>
      </c>
      <c r="J311" s="4" t="s">
        <v>1408</v>
      </c>
      <c r="K311" s="4">
        <v>0.346165</v>
      </c>
      <c r="L311" s="4" t="s">
        <v>1408</v>
      </c>
      <c r="N311" s="5">
        <v>-12256000</v>
      </c>
      <c r="O311" s="5">
        <v>790000</v>
      </c>
      <c r="P311" s="6">
        <v>-15.513924050632911</v>
      </c>
      <c r="Q311" s="1"/>
      <c r="R311" s="7" t="e">
        <f ca="1">_xll.SNL.Clients.Office.Excel.Functions.SPG(A311, "SP_TOTAL_DEBT", "LTM")</f>
        <v>#NAME?</v>
      </c>
      <c r="S311" s="8" t="e">
        <f ca="1">_xll.SNL.Clients.Office.Excel.Functions.SPG(A311, "SP_DEBT_TO_EQUITY", "LTM")</f>
        <v>#NAME?</v>
      </c>
      <c r="U311" s="9" t="e">
        <f t="shared" ca="1" si="4"/>
        <v>#NAME?</v>
      </c>
      <c r="Y311" s="1"/>
      <c r="Z311" s="1"/>
      <c r="AA311" s="10"/>
      <c r="AB311" s="1" t="s">
        <v>670</v>
      </c>
      <c r="AC311" s="1" t="s">
        <v>60</v>
      </c>
      <c r="AD311" s="10">
        <v>2782.6991655900001</v>
      </c>
      <c r="AE311" s="1" t="s">
        <v>25</v>
      </c>
    </row>
    <row r="312" spans="1:31" x14ac:dyDescent="0.2">
      <c r="A312" s="1" t="s">
        <v>671</v>
      </c>
      <c r="B312" s="2" t="s">
        <v>1408</v>
      </c>
      <c r="C312" s="3">
        <v>4.6762589928057698</v>
      </c>
      <c r="D312" s="2">
        <v>-2.0619999999999998</v>
      </c>
      <c r="E312" s="2">
        <v>10.849966</v>
      </c>
      <c r="F312" s="4">
        <v>1.3959999999999999</v>
      </c>
      <c r="G312" s="4">
        <v>14.7041804056113</v>
      </c>
      <c r="H312" s="2" t="s">
        <v>1408</v>
      </c>
      <c r="I312" s="4" t="s">
        <v>1408</v>
      </c>
      <c r="J312" s="4">
        <v>41.334668507185199</v>
      </c>
      <c r="K312" s="4">
        <v>1.405769</v>
      </c>
      <c r="L312" s="4" t="s">
        <v>1408</v>
      </c>
      <c r="N312" s="5" t="s">
        <v>1408</v>
      </c>
      <c r="O312" s="5">
        <v>85888</v>
      </c>
      <c r="P312" s="6" t="e">
        <v>#VALUE!</v>
      </c>
      <c r="Q312" s="1"/>
      <c r="R312" s="7" t="e">
        <f ca="1">_xll.SNL.Clients.Office.Excel.Functions.SPG(A312, "SP_TOTAL_DEBT", "LTM")</f>
        <v>#NAME?</v>
      </c>
      <c r="S312" s="8" t="e">
        <f ca="1">_xll.SNL.Clients.Office.Excel.Functions.SPG(A312, "SP_DEBT_TO_EQUITY", "LTM")</f>
        <v>#NAME?</v>
      </c>
      <c r="U312" s="9" t="e">
        <f t="shared" ca="1" si="4"/>
        <v>#VALUE!</v>
      </c>
      <c r="Y312" s="1"/>
      <c r="Z312" s="1"/>
      <c r="AA312" s="10"/>
      <c r="AB312" s="1" t="s">
        <v>672</v>
      </c>
      <c r="AC312" s="1" t="s">
        <v>34</v>
      </c>
      <c r="AD312" s="10">
        <v>980.14140916999997</v>
      </c>
      <c r="AE312" s="1" t="s">
        <v>25</v>
      </c>
    </row>
    <row r="313" spans="1:31" x14ac:dyDescent="0.2">
      <c r="A313" s="1" t="s">
        <v>673</v>
      </c>
      <c r="B313" s="2" t="s">
        <v>1408</v>
      </c>
      <c r="C313" s="3">
        <v>-26.6423357664234</v>
      </c>
      <c r="D313" s="2">
        <v>-10.17</v>
      </c>
      <c r="E313" s="2">
        <v>18.368158999999999</v>
      </c>
      <c r="F313" s="4">
        <v>0.82</v>
      </c>
      <c r="G313" s="4">
        <v>7.6372665802653499</v>
      </c>
      <c r="H313" s="2" t="s">
        <v>1408</v>
      </c>
      <c r="I313" s="4" t="s">
        <v>1408</v>
      </c>
      <c r="J313" s="4">
        <v>33.8258783471966</v>
      </c>
      <c r="K313" s="4">
        <v>1.3555090000000001</v>
      </c>
      <c r="L313" s="4" t="s">
        <v>1408</v>
      </c>
      <c r="N313" s="5" t="s">
        <v>1408</v>
      </c>
      <c r="O313" s="5">
        <v>222927</v>
      </c>
      <c r="P313" s="6" t="e">
        <v>#VALUE!</v>
      </c>
      <c r="Q313" s="1"/>
      <c r="R313" s="7" t="e">
        <f ca="1">_xll.SNL.Clients.Office.Excel.Functions.SPG(A313, "SP_TOTAL_DEBT", "LTM")</f>
        <v>#NAME?</v>
      </c>
      <c r="S313" s="8" t="e">
        <f ca="1">_xll.SNL.Clients.Office.Excel.Functions.SPG(A313, "SP_DEBT_TO_EQUITY", "LTM")</f>
        <v>#NAME?</v>
      </c>
      <c r="U313" s="9" t="e">
        <f t="shared" ca="1" si="4"/>
        <v>#VALUE!</v>
      </c>
      <c r="Y313" s="1"/>
      <c r="Z313" s="1"/>
      <c r="AA313" s="10"/>
      <c r="AB313" s="1" t="s">
        <v>674</v>
      </c>
      <c r="AC313" s="1" t="s">
        <v>34</v>
      </c>
      <c r="AD313" s="10">
        <v>4286.96649772</v>
      </c>
      <c r="AE313" s="1" t="s">
        <v>25</v>
      </c>
    </row>
    <row r="314" spans="1:31" x14ac:dyDescent="0.2">
      <c r="A314" s="1" t="s">
        <v>675</v>
      </c>
      <c r="B314" s="2">
        <v>-1.41</v>
      </c>
      <c r="C314" s="3" t="s">
        <v>1409</v>
      </c>
      <c r="D314" s="2">
        <v>-7.931</v>
      </c>
      <c r="E314" s="2">
        <v>19.185537</v>
      </c>
      <c r="F314" s="4">
        <v>0.98299999999999998</v>
      </c>
      <c r="G314" s="4">
        <v>-0.12972375707471401</v>
      </c>
      <c r="H314" s="2">
        <v>1.502</v>
      </c>
      <c r="I314" s="4">
        <v>0.315</v>
      </c>
      <c r="J314" s="4" t="s">
        <v>1408</v>
      </c>
      <c r="K314" s="4">
        <v>0.636436</v>
      </c>
      <c r="L314" s="4">
        <v>9.8718939999999993</v>
      </c>
      <c r="N314" s="5">
        <v>-15218.375</v>
      </c>
      <c r="O314" s="5">
        <v>21870</v>
      </c>
      <c r="P314" s="6">
        <v>-0.69585619570187474</v>
      </c>
      <c r="Q314" s="1"/>
      <c r="R314" s="7" t="e">
        <f ca="1">_xll.SNL.Clients.Office.Excel.Functions.SPG(A314, "SP_TOTAL_DEBT", "LTM")</f>
        <v>#NAME?</v>
      </c>
      <c r="S314" s="8" t="e">
        <f ca="1">_xll.SNL.Clients.Office.Excel.Functions.SPG(A314, "SP_DEBT_TO_EQUITY", "LTM")</f>
        <v>#NAME?</v>
      </c>
      <c r="U314" s="9" t="e">
        <f t="shared" ca="1" si="4"/>
        <v>#NAME?</v>
      </c>
      <c r="Y314" s="1"/>
      <c r="Z314" s="1"/>
      <c r="AA314" s="10"/>
      <c r="AB314" s="1" t="s">
        <v>676</v>
      </c>
      <c r="AC314" s="1" t="s">
        <v>95</v>
      </c>
      <c r="AD314" s="10">
        <v>396.831779117</v>
      </c>
      <c r="AE314" s="1" t="s">
        <v>25</v>
      </c>
    </row>
    <row r="315" spans="1:31" x14ac:dyDescent="0.2">
      <c r="A315" s="1" t="s">
        <v>677</v>
      </c>
      <c r="B315" s="2">
        <v>3.2610000000000001</v>
      </c>
      <c r="C315" s="3">
        <v>-87.841945288753806</v>
      </c>
      <c r="D315" s="2">
        <v>5.3</v>
      </c>
      <c r="E315" s="2">
        <v>40.971049000000001</v>
      </c>
      <c r="F315" s="4">
        <v>2.827</v>
      </c>
      <c r="G315" s="4">
        <v>0.59435702046801397</v>
      </c>
      <c r="H315" s="2">
        <v>1.0900000000000001</v>
      </c>
      <c r="I315" s="4">
        <v>0.20399999999999999</v>
      </c>
      <c r="J315" s="4" t="s">
        <v>1408</v>
      </c>
      <c r="K315" s="4">
        <v>1.5762119999999999</v>
      </c>
      <c r="L315" s="4">
        <v>12.774303</v>
      </c>
      <c r="N315" s="5">
        <v>2696774.125</v>
      </c>
      <c r="O315" s="5">
        <v>914953</v>
      </c>
      <c r="P315" s="6">
        <v>2.9474455245242104</v>
      </c>
      <c r="Q315" s="1"/>
      <c r="R315" s="7" t="e">
        <f ca="1">_xll.SNL.Clients.Office.Excel.Functions.SPG(A315, "SP_TOTAL_DEBT", "LTM")</f>
        <v>#NAME?</v>
      </c>
      <c r="S315" s="8" t="e">
        <f ca="1">_xll.SNL.Clients.Office.Excel.Functions.SPG(A315, "SP_DEBT_TO_EQUITY", "LTM")</f>
        <v>#NAME?</v>
      </c>
      <c r="U315" s="9" t="e">
        <f t="shared" ca="1" si="4"/>
        <v>#NAME?</v>
      </c>
      <c r="Y315" s="1"/>
      <c r="Z315" s="1"/>
      <c r="AA315" s="10"/>
      <c r="AB315" s="1" t="s">
        <v>678</v>
      </c>
      <c r="AC315" s="1" t="s">
        <v>57</v>
      </c>
      <c r="AD315" s="10">
        <v>34691.565983580003</v>
      </c>
      <c r="AE315" s="1" t="s">
        <v>25</v>
      </c>
    </row>
    <row r="316" spans="1:31" x14ac:dyDescent="0.2">
      <c r="A316" s="1" t="s">
        <v>679</v>
      </c>
      <c r="B316" s="2">
        <v>7.08</v>
      </c>
      <c r="C316" s="3">
        <v>3.4626038781163402</v>
      </c>
      <c r="D316" s="2">
        <v>1.996</v>
      </c>
      <c r="E316" s="2">
        <v>15.032249999999999</v>
      </c>
      <c r="F316" s="4">
        <v>2.6</v>
      </c>
      <c r="G316" s="4">
        <v>22.829453761863199</v>
      </c>
      <c r="H316" s="2">
        <v>0.60599999999999998</v>
      </c>
      <c r="I316" s="4">
        <v>0.21</v>
      </c>
      <c r="J316" s="4" t="s">
        <v>1408</v>
      </c>
      <c r="K316" s="4" t="s">
        <v>1408</v>
      </c>
      <c r="L316" s="4">
        <v>12.531786</v>
      </c>
      <c r="N316" s="5">
        <v>1409015.875</v>
      </c>
      <c r="O316" s="5">
        <v>938296</v>
      </c>
      <c r="P316" s="6">
        <v>1.5016752442725962</v>
      </c>
      <c r="Q316" s="1"/>
      <c r="R316" s="7" t="e">
        <f ca="1">_xll.SNL.Clients.Office.Excel.Functions.SPG(A316, "SP_TOTAL_DEBT", "LTM")</f>
        <v>#NAME?</v>
      </c>
      <c r="S316" s="8" t="e">
        <f ca="1">_xll.SNL.Clients.Office.Excel.Functions.SPG(A316, "SP_DEBT_TO_EQUITY", "LTM")</f>
        <v>#NAME?</v>
      </c>
      <c r="U316" s="9" t="e">
        <f t="shared" ca="1" si="4"/>
        <v>#NAME?</v>
      </c>
      <c r="Y316" s="1"/>
      <c r="Z316" s="1"/>
      <c r="AA316" s="10"/>
      <c r="AB316" s="1" t="s">
        <v>680</v>
      </c>
      <c r="AC316" s="1" t="s">
        <v>60</v>
      </c>
      <c r="AD316" s="10">
        <v>11559.6636468</v>
      </c>
      <c r="AE316" s="1" t="s">
        <v>25</v>
      </c>
    </row>
    <row r="317" spans="1:31" x14ac:dyDescent="0.2">
      <c r="A317" s="1" t="s">
        <v>681</v>
      </c>
      <c r="B317" s="2" t="s">
        <v>1408</v>
      </c>
      <c r="C317" s="3">
        <v>-42.4076607387141</v>
      </c>
      <c r="D317" s="2">
        <v>12.38</v>
      </c>
      <c r="E317" s="2">
        <v>12.953359000000001</v>
      </c>
      <c r="F317" s="4">
        <v>5.7140000000000004</v>
      </c>
      <c r="G317" s="4">
        <v>17.8461263241695</v>
      </c>
      <c r="H317" s="2">
        <v>27.823</v>
      </c>
      <c r="I317" s="4">
        <v>0.20100000000000001</v>
      </c>
      <c r="J317" s="4">
        <v>26.3683741605434</v>
      </c>
      <c r="K317" s="4">
        <v>2.5180020000000001</v>
      </c>
      <c r="L317" s="4" t="s">
        <v>1408</v>
      </c>
      <c r="N317" s="5" t="s">
        <v>1408</v>
      </c>
      <c r="O317" s="5">
        <v>201872</v>
      </c>
      <c r="P317" s="6" t="e">
        <v>#VALUE!</v>
      </c>
      <c r="Q317" s="1"/>
      <c r="R317" s="7" t="e">
        <f ca="1">_xll.SNL.Clients.Office.Excel.Functions.SPG(A317, "SP_TOTAL_DEBT", "LTM")</f>
        <v>#NAME?</v>
      </c>
      <c r="S317" s="8" t="e">
        <f ca="1">_xll.SNL.Clients.Office.Excel.Functions.SPG(A317, "SP_DEBT_TO_EQUITY", "LTM")</f>
        <v>#NAME?</v>
      </c>
      <c r="U317" s="9" t="e">
        <f t="shared" ca="1" si="4"/>
        <v>#VALUE!</v>
      </c>
      <c r="Y317" s="1"/>
      <c r="Z317" s="1"/>
      <c r="AA317" s="10"/>
      <c r="AB317" s="1" t="s">
        <v>682</v>
      </c>
      <c r="AC317" s="1" t="s">
        <v>161</v>
      </c>
      <c r="AD317" s="10">
        <v>1902.70458312716</v>
      </c>
      <c r="AE317" s="1" t="s">
        <v>25</v>
      </c>
    </row>
    <row r="318" spans="1:31" x14ac:dyDescent="0.2">
      <c r="A318" s="1" t="s">
        <v>683</v>
      </c>
      <c r="B318" s="2">
        <v>4.5960000000000001</v>
      </c>
      <c r="C318" s="3">
        <v>-88.461538461538495</v>
      </c>
      <c r="D318" s="2">
        <v>38.511000000000003</v>
      </c>
      <c r="E318" s="2">
        <v>171.58351400000001</v>
      </c>
      <c r="F318" s="4">
        <v>6.6029999999999998</v>
      </c>
      <c r="G318" s="4" t="s">
        <v>1409</v>
      </c>
      <c r="H318" s="2">
        <v>1.7450000000000001</v>
      </c>
      <c r="I318" s="4">
        <v>0.76400000000000001</v>
      </c>
      <c r="J318" s="4" t="s">
        <v>1408</v>
      </c>
      <c r="K318" s="4">
        <v>41.500525000000003</v>
      </c>
      <c r="L318" s="4">
        <v>40.102241999999997</v>
      </c>
      <c r="N318" s="5">
        <v>31436.75</v>
      </c>
      <c r="O318" s="5">
        <v>20856</v>
      </c>
      <c r="P318" s="6">
        <v>1.5073240314537784</v>
      </c>
      <c r="Q318" s="1"/>
      <c r="R318" s="7" t="e">
        <f ca="1">_xll.SNL.Clients.Office.Excel.Functions.SPG(A318, "SP_TOTAL_DEBT", "LTM")</f>
        <v>#NAME?</v>
      </c>
      <c r="S318" s="8" t="e">
        <f ca="1">_xll.SNL.Clients.Office.Excel.Functions.SPG(A318, "SP_DEBT_TO_EQUITY", "LTM")</f>
        <v>#NAME?</v>
      </c>
      <c r="U318" s="9" t="e">
        <f t="shared" ca="1" si="4"/>
        <v>#NAME?</v>
      </c>
      <c r="Y318" s="1"/>
      <c r="Z318" s="1"/>
      <c r="AA318" s="10"/>
      <c r="AB318" s="1" t="s">
        <v>684</v>
      </c>
      <c r="AC318" s="1" t="s">
        <v>24</v>
      </c>
      <c r="AD318" s="10">
        <v>1920.3699948000001</v>
      </c>
      <c r="AE318" s="1" t="s">
        <v>25</v>
      </c>
    </row>
    <row r="319" spans="1:31" x14ac:dyDescent="0.2">
      <c r="A319" s="1" t="s">
        <v>685</v>
      </c>
      <c r="B319" s="2">
        <v>9.4380000000000006</v>
      </c>
      <c r="C319" s="3" t="s">
        <v>1408</v>
      </c>
      <c r="D319" s="2" t="s">
        <v>1408</v>
      </c>
      <c r="E319" s="2" t="s">
        <v>1409</v>
      </c>
      <c r="F319" s="4">
        <v>-0.21</v>
      </c>
      <c r="G319" s="4" t="s">
        <v>1408</v>
      </c>
      <c r="H319" s="2">
        <v>0.115</v>
      </c>
      <c r="I319" s="4" t="s">
        <v>1408</v>
      </c>
      <c r="J319" s="4" t="s">
        <v>1408</v>
      </c>
      <c r="K319" s="4" t="s">
        <v>1409</v>
      </c>
      <c r="L319" s="4" t="s">
        <v>1408</v>
      </c>
      <c r="N319" s="5">
        <v>1716.2650000000001</v>
      </c>
      <c r="O319" s="5">
        <v>22841.776000000002</v>
      </c>
      <c r="P319" s="6">
        <v>7.5137108427996147E-2</v>
      </c>
      <c r="Q319" s="1"/>
      <c r="R319" s="7" t="e">
        <f ca="1">_xll.SNL.Clients.Office.Excel.Functions.SPG(A319, "SP_TOTAL_DEBT", "LTM")</f>
        <v>#NAME?</v>
      </c>
      <c r="S319" s="8" t="e">
        <f ca="1">_xll.SNL.Clients.Office.Excel.Functions.SPG(A319, "SP_DEBT_TO_EQUITY", "LTM")</f>
        <v>#NAME?</v>
      </c>
      <c r="U319" s="9" t="e">
        <f t="shared" ca="1" si="4"/>
        <v>#NAME?</v>
      </c>
      <c r="Y319" s="1"/>
      <c r="Z319" s="1"/>
      <c r="AA319" s="10"/>
      <c r="AB319" s="1" t="s">
        <v>686</v>
      </c>
      <c r="AC319" s="1" t="s">
        <v>37</v>
      </c>
      <c r="AD319" s="10">
        <v>717.28125</v>
      </c>
      <c r="AE319" s="1" t="s">
        <v>25</v>
      </c>
    </row>
    <row r="320" spans="1:31" x14ac:dyDescent="0.2">
      <c r="A320" s="1" t="s">
        <v>687</v>
      </c>
      <c r="B320" s="2">
        <v>67.430999999999997</v>
      </c>
      <c r="C320" s="3" t="s">
        <v>1408</v>
      </c>
      <c r="D320" s="2">
        <v>9.7710000000000008</v>
      </c>
      <c r="E320" s="2">
        <v>17.554076999999999</v>
      </c>
      <c r="F320" s="4">
        <v>58.198999999999998</v>
      </c>
      <c r="G320" s="4" t="s">
        <v>1408</v>
      </c>
      <c r="H320" s="2">
        <v>5.0389999999999997</v>
      </c>
      <c r="I320" s="4">
        <v>1.2569999999999999</v>
      </c>
      <c r="J320" s="4" t="s">
        <v>1408</v>
      </c>
      <c r="K320" s="4">
        <v>12.651586999999999</v>
      </c>
      <c r="L320" s="4">
        <v>12.134385</v>
      </c>
      <c r="N320" s="5">
        <v>211177.875</v>
      </c>
      <c r="O320" s="5">
        <v>241239</v>
      </c>
      <c r="P320" s="6">
        <v>0.87538861875567386</v>
      </c>
      <c r="Q320" s="1"/>
      <c r="R320" s="7" t="e">
        <f ca="1">_xll.SNL.Clients.Office.Excel.Functions.SPG(A320, "SP_TOTAL_DEBT", "LTM")</f>
        <v>#NAME?</v>
      </c>
      <c r="S320" s="8" t="e">
        <f ca="1">_xll.SNL.Clients.Office.Excel.Functions.SPG(A320, "SP_DEBT_TO_EQUITY", "LTM")</f>
        <v>#NAME?</v>
      </c>
      <c r="U320" s="9" t="e">
        <f t="shared" ca="1" si="4"/>
        <v>#NAME?</v>
      </c>
      <c r="Y320" s="1"/>
      <c r="Z320" s="1"/>
      <c r="AA320" s="10"/>
      <c r="AB320" s="1" t="s">
        <v>688</v>
      </c>
      <c r="AC320" s="1" t="s">
        <v>37</v>
      </c>
      <c r="AD320" s="10">
        <v>3591.0585259373402</v>
      </c>
      <c r="AE320" s="1" t="s">
        <v>25</v>
      </c>
    </row>
    <row r="321" spans="1:31" x14ac:dyDescent="0.2">
      <c r="A321" s="1" t="s">
        <v>689</v>
      </c>
      <c r="B321" s="2" t="s">
        <v>1408</v>
      </c>
      <c r="C321" s="3">
        <v>-6.8106312292358702</v>
      </c>
      <c r="D321" s="2">
        <v>-0.52800000000000002</v>
      </c>
      <c r="E321" s="2">
        <v>9.033868</v>
      </c>
      <c r="F321" s="4">
        <v>1.18</v>
      </c>
      <c r="G321" s="4">
        <v>12.306686996297101</v>
      </c>
      <c r="H321" s="2" t="s">
        <v>1408</v>
      </c>
      <c r="I321" s="4" t="s">
        <v>1408</v>
      </c>
      <c r="J321" s="4">
        <v>40.0612661674609</v>
      </c>
      <c r="K321" s="4">
        <v>1.0462</v>
      </c>
      <c r="L321" s="4" t="s">
        <v>1408</v>
      </c>
      <c r="N321" s="5" t="s">
        <v>1408</v>
      </c>
      <c r="O321" s="5">
        <v>67800</v>
      </c>
      <c r="P321" s="6" t="e">
        <v>#VALUE!</v>
      </c>
      <c r="Q321" s="1"/>
      <c r="R321" s="7" t="e">
        <f ca="1">_xll.SNL.Clients.Office.Excel.Functions.SPG(A321, "SP_TOTAL_DEBT", "LTM")</f>
        <v>#NAME?</v>
      </c>
      <c r="S321" s="8" t="e">
        <f ca="1">_xll.SNL.Clients.Office.Excel.Functions.SPG(A321, "SP_DEBT_TO_EQUITY", "LTM")</f>
        <v>#NAME?</v>
      </c>
      <c r="U321" s="9" t="e">
        <f t="shared" ca="1" si="4"/>
        <v>#VALUE!</v>
      </c>
      <c r="Y321" s="1"/>
      <c r="Z321" s="1"/>
      <c r="AA321" s="10"/>
      <c r="AB321" s="1" t="s">
        <v>690</v>
      </c>
      <c r="AC321" s="1" t="s">
        <v>34</v>
      </c>
      <c r="AD321" s="10">
        <v>614.89275869999994</v>
      </c>
      <c r="AE321" s="1" t="s">
        <v>25</v>
      </c>
    </row>
    <row r="322" spans="1:31" x14ac:dyDescent="0.2">
      <c r="A322" s="1" t="s">
        <v>691</v>
      </c>
      <c r="B322" s="2">
        <v>6.4779999999999998</v>
      </c>
      <c r="C322" s="3">
        <v>2.7380952380952399</v>
      </c>
      <c r="D322" s="2">
        <v>-30.635000000000002</v>
      </c>
      <c r="E322" s="2">
        <v>20.090131</v>
      </c>
      <c r="F322" s="4">
        <v>0.32500000000000001</v>
      </c>
      <c r="G322" s="4">
        <v>11.4277861089666</v>
      </c>
      <c r="H322" s="2">
        <v>25.466000000000001</v>
      </c>
      <c r="I322" s="4">
        <v>6.7000000000000004E-2</v>
      </c>
      <c r="J322" s="4" t="s">
        <v>1408</v>
      </c>
      <c r="K322" s="4">
        <v>1.7404539999999999</v>
      </c>
      <c r="L322" s="4">
        <v>12.077403</v>
      </c>
      <c r="N322" s="5">
        <v>-24697750</v>
      </c>
      <c r="O322" s="5">
        <v>3192000</v>
      </c>
      <c r="P322" s="6">
        <v>-7.7373903508771926</v>
      </c>
      <c r="Q322" s="1"/>
      <c r="R322" s="7" t="e">
        <f ca="1">_xll.SNL.Clients.Office.Excel.Functions.SPG(A322, "SP_TOTAL_DEBT", "LTM")</f>
        <v>#NAME?</v>
      </c>
      <c r="S322" s="8" t="e">
        <f ca="1">_xll.SNL.Clients.Office.Excel.Functions.SPG(A322, "SP_DEBT_TO_EQUITY", "LTM")</f>
        <v>#NAME?</v>
      </c>
      <c r="U322" s="9" t="e">
        <f t="shared" ca="1" si="4"/>
        <v>#NAME?</v>
      </c>
      <c r="Y322" s="1"/>
      <c r="Z322" s="1"/>
      <c r="AA322" s="10"/>
      <c r="AB322" s="1" t="s">
        <v>692</v>
      </c>
      <c r="AC322" s="1" t="s">
        <v>60</v>
      </c>
      <c r="AD322" s="10">
        <v>31283.332366457598</v>
      </c>
      <c r="AE322" s="1" t="s">
        <v>25</v>
      </c>
    </row>
    <row r="323" spans="1:31" x14ac:dyDescent="0.2">
      <c r="A323" s="1" t="s">
        <v>693</v>
      </c>
      <c r="B323" s="2" t="s">
        <v>1408</v>
      </c>
      <c r="C323" s="3">
        <v>40</v>
      </c>
      <c r="D323" s="2">
        <v>1.135</v>
      </c>
      <c r="E323" s="2">
        <v>12.380952000000001</v>
      </c>
      <c r="F323" s="4">
        <v>0.77400000000000002</v>
      </c>
      <c r="G323" s="4">
        <v>7.1391504497685903</v>
      </c>
      <c r="H323" s="2" t="s">
        <v>1408</v>
      </c>
      <c r="I323" s="4" t="s">
        <v>1408</v>
      </c>
      <c r="J323" s="4" t="s">
        <v>1408</v>
      </c>
      <c r="K323" s="4">
        <v>0.56559000000000004</v>
      </c>
      <c r="L323" s="4" t="s">
        <v>1408</v>
      </c>
      <c r="N323" s="5" t="s">
        <v>1408</v>
      </c>
      <c r="O323" s="5">
        <v>36209</v>
      </c>
      <c r="P323" s="6" t="e">
        <v>#VALUE!</v>
      </c>
      <c r="Q323" s="1"/>
      <c r="R323" s="7" t="e">
        <f ca="1">_xll.SNL.Clients.Office.Excel.Functions.SPG(A323, "SP_TOTAL_DEBT", "LTM")</f>
        <v>#NAME?</v>
      </c>
      <c r="S323" s="8" t="e">
        <f ca="1">_xll.SNL.Clients.Office.Excel.Functions.SPG(A323, "SP_DEBT_TO_EQUITY", "LTM")</f>
        <v>#NAME?</v>
      </c>
      <c r="U323" s="9" t="e">
        <f t="shared" ref="U323:U386" ca="1" si="5">N323/R323</f>
        <v>#VALUE!</v>
      </c>
      <c r="Y323" s="1"/>
      <c r="Z323" s="1"/>
      <c r="AA323" s="10"/>
      <c r="AB323" s="1" t="s">
        <v>694</v>
      </c>
      <c r="AC323" s="1" t="s">
        <v>57</v>
      </c>
      <c r="AD323" s="10">
        <v>472.5953131</v>
      </c>
      <c r="AE323" s="1" t="s">
        <v>25</v>
      </c>
    </row>
    <row r="324" spans="1:31" x14ac:dyDescent="0.2">
      <c r="A324" s="1" t="s">
        <v>695</v>
      </c>
      <c r="B324" s="2" t="s">
        <v>1408</v>
      </c>
      <c r="C324" s="3">
        <v>10.0303951367781</v>
      </c>
      <c r="D324" s="2">
        <v>11.323</v>
      </c>
      <c r="E324" s="2">
        <v>16.165604999999999</v>
      </c>
      <c r="F324" s="4">
        <v>0.999</v>
      </c>
      <c r="G324" s="4">
        <v>18.1262033596919</v>
      </c>
      <c r="H324" s="2" t="s">
        <v>1408</v>
      </c>
      <c r="I324" s="4" t="s">
        <v>1408</v>
      </c>
      <c r="J324" s="4" t="s">
        <v>1408</v>
      </c>
      <c r="K324" s="4">
        <v>2.2127289999999999</v>
      </c>
      <c r="L324" s="4" t="s">
        <v>1408</v>
      </c>
      <c r="N324" s="5" t="s">
        <v>1408</v>
      </c>
      <c r="O324" s="5">
        <v>26727</v>
      </c>
      <c r="P324" s="6" t="e">
        <v>#VALUE!</v>
      </c>
      <c r="Q324" s="1"/>
      <c r="R324" s="7" t="e">
        <f ca="1">_xll.SNL.Clients.Office.Excel.Functions.SPG(A324, "SP_TOTAL_DEBT", "LTM")</f>
        <v>#NAME?</v>
      </c>
      <c r="S324" s="8" t="e">
        <f ca="1">_xll.SNL.Clients.Office.Excel.Functions.SPG(A324, "SP_DEBT_TO_EQUITY", "LTM")</f>
        <v>#NAME?</v>
      </c>
      <c r="U324" s="9" t="e">
        <f t="shared" ca="1" si="5"/>
        <v>#VALUE!</v>
      </c>
      <c r="Y324" s="1"/>
      <c r="Z324" s="1"/>
      <c r="AA324" s="10"/>
      <c r="AB324" s="1" t="s">
        <v>696</v>
      </c>
      <c r="AC324" s="1" t="s">
        <v>34</v>
      </c>
      <c r="AD324" s="10">
        <v>425.67070000000001</v>
      </c>
      <c r="AE324" s="1" t="s">
        <v>25</v>
      </c>
    </row>
    <row r="325" spans="1:31" x14ac:dyDescent="0.2">
      <c r="A325" s="1" t="s">
        <v>697</v>
      </c>
      <c r="B325" s="2">
        <v>4.5220000000000002</v>
      </c>
      <c r="C325" s="3">
        <v>43.137254901960802</v>
      </c>
      <c r="D325" s="2">
        <v>-9.6859999999999999</v>
      </c>
      <c r="E325" s="2">
        <v>4.2590479999999999</v>
      </c>
      <c r="F325" s="4">
        <v>3.7160000000000002</v>
      </c>
      <c r="G325" s="4">
        <v>5.3098842430777502</v>
      </c>
      <c r="H325" s="2">
        <v>1.8009999999999999</v>
      </c>
      <c r="I325" s="4">
        <v>0.39500000000000002</v>
      </c>
      <c r="J325" s="4" t="s">
        <v>1408</v>
      </c>
      <c r="K325" s="4">
        <v>0.68605799999999995</v>
      </c>
      <c r="L325" s="4" t="s">
        <v>1408</v>
      </c>
      <c r="N325" s="5">
        <v>-40165.375</v>
      </c>
      <c r="O325" s="5">
        <v>103974</v>
      </c>
      <c r="P325" s="6">
        <v>-0.38630210437224693</v>
      </c>
      <c r="Q325" s="1"/>
      <c r="R325" s="7" t="e">
        <f ca="1">_xll.SNL.Clients.Office.Excel.Functions.SPG(A325, "SP_TOTAL_DEBT", "LTM")</f>
        <v>#NAME?</v>
      </c>
      <c r="S325" s="8" t="e">
        <f ca="1">_xll.SNL.Clients.Office.Excel.Functions.SPG(A325, "SP_DEBT_TO_EQUITY", "LTM")</f>
        <v>#NAME?</v>
      </c>
      <c r="U325" s="9" t="e">
        <f t="shared" ca="1" si="5"/>
        <v>#NAME?</v>
      </c>
      <c r="Y325" s="1"/>
      <c r="Z325" s="1"/>
      <c r="AA325" s="10"/>
      <c r="AB325" s="1" t="s">
        <v>698</v>
      </c>
      <c r="AC325" s="1" t="s">
        <v>324</v>
      </c>
      <c r="AD325" s="10">
        <v>403.19981387000001</v>
      </c>
      <c r="AE325" s="1" t="s">
        <v>42</v>
      </c>
    </row>
    <row r="326" spans="1:31" x14ac:dyDescent="0.2">
      <c r="A326" s="1" t="s">
        <v>699</v>
      </c>
      <c r="B326" s="2" t="s">
        <v>1408</v>
      </c>
      <c r="C326" s="3">
        <v>13.0435466852121</v>
      </c>
      <c r="D326" s="2">
        <v>14.481999999999999</v>
      </c>
      <c r="E326" s="2">
        <v>8.6347059999999995</v>
      </c>
      <c r="F326" s="4">
        <v>3.403</v>
      </c>
      <c r="G326" s="4">
        <v>-104.352879320364</v>
      </c>
      <c r="H326" s="2">
        <v>15.875999999999999</v>
      </c>
      <c r="I326" s="4">
        <v>3.5999999999999997E-2</v>
      </c>
      <c r="J326" s="4" t="s">
        <v>1408</v>
      </c>
      <c r="K326" s="4">
        <v>1.282905</v>
      </c>
      <c r="L326" s="4" t="s">
        <v>1408</v>
      </c>
      <c r="N326" s="5" t="s">
        <v>1408</v>
      </c>
      <c r="O326" s="5">
        <v>50982.646000000001</v>
      </c>
      <c r="P326" s="6" t="e">
        <v>#VALUE!</v>
      </c>
      <c r="Q326" s="1"/>
      <c r="R326" s="7" t="e">
        <f ca="1">_xll.SNL.Clients.Office.Excel.Functions.SPG(A326, "SP_TOTAL_DEBT", "LTM")</f>
        <v>#NAME?</v>
      </c>
      <c r="S326" s="8" t="e">
        <f ca="1">_xll.SNL.Clients.Office.Excel.Functions.SPG(A326, "SP_DEBT_TO_EQUITY", "LTM")</f>
        <v>#NAME?</v>
      </c>
      <c r="U326" s="9" t="e">
        <f t="shared" ca="1" si="5"/>
        <v>#VALUE!</v>
      </c>
      <c r="Y326" s="1"/>
      <c r="Z326" s="1"/>
      <c r="AA326" s="10"/>
      <c r="AB326" s="1" t="s">
        <v>700</v>
      </c>
      <c r="AC326" s="1" t="s">
        <v>164</v>
      </c>
      <c r="AD326" s="10">
        <v>382.89462739999999</v>
      </c>
      <c r="AE326" s="1" t="s">
        <v>25</v>
      </c>
    </row>
    <row r="327" spans="1:31" x14ac:dyDescent="0.2">
      <c r="A327" s="1" t="s">
        <v>701</v>
      </c>
      <c r="B327" s="2">
        <v>15.436999999999999</v>
      </c>
      <c r="C327" s="3" t="s">
        <v>1408</v>
      </c>
      <c r="D327" s="2">
        <v>-15.954000000000001</v>
      </c>
      <c r="E327" s="2" t="s">
        <v>1409</v>
      </c>
      <c r="F327" s="4">
        <v>-1.327</v>
      </c>
      <c r="G327" s="4" t="s">
        <v>1408</v>
      </c>
      <c r="H327" s="2">
        <v>1.0129999999999999</v>
      </c>
      <c r="I327" s="4">
        <v>0.81100000000000005</v>
      </c>
      <c r="J327" s="4" t="s">
        <v>1408</v>
      </c>
      <c r="K327" s="4" t="s">
        <v>1409</v>
      </c>
      <c r="L327" s="4" t="s">
        <v>1409</v>
      </c>
      <c r="N327" s="5">
        <v>26773.375</v>
      </c>
      <c r="O327" s="5">
        <v>-22371</v>
      </c>
      <c r="P327" s="6">
        <v>-1.1967893701667338</v>
      </c>
      <c r="Q327" s="1"/>
      <c r="R327" s="7" t="e">
        <f ca="1">_xll.SNL.Clients.Office.Excel.Functions.SPG(A327, "SP_TOTAL_DEBT", "LTM")</f>
        <v>#NAME?</v>
      </c>
      <c r="S327" s="8" t="e">
        <f ca="1">_xll.SNL.Clients.Office.Excel.Functions.SPG(A327, "SP_DEBT_TO_EQUITY", "LTM")</f>
        <v>#NAME?</v>
      </c>
      <c r="U327" s="9" t="e">
        <f t="shared" ca="1" si="5"/>
        <v>#NAME?</v>
      </c>
      <c r="Y327" s="1"/>
      <c r="Z327" s="1"/>
      <c r="AA327" s="10"/>
      <c r="AB327" s="1" t="s">
        <v>702</v>
      </c>
      <c r="AC327" s="1" t="s">
        <v>37</v>
      </c>
      <c r="AD327" s="10">
        <v>373.57061247000001</v>
      </c>
      <c r="AE327" s="1" t="s">
        <v>25</v>
      </c>
    </row>
    <row r="328" spans="1:31" x14ac:dyDescent="0.2">
      <c r="A328" s="1" t="s">
        <v>703</v>
      </c>
      <c r="B328" s="2" t="s">
        <v>1408</v>
      </c>
      <c r="C328" s="3">
        <v>7.25715951414338</v>
      </c>
      <c r="D328" s="2">
        <v>3.718</v>
      </c>
      <c r="E328" s="2">
        <v>36.904674999999997</v>
      </c>
      <c r="F328" s="4">
        <v>0.72299999999999998</v>
      </c>
      <c r="G328" s="4">
        <v>15.453278266386899</v>
      </c>
      <c r="H328" s="2" t="s">
        <v>1408</v>
      </c>
      <c r="I328" s="4" t="s">
        <v>1408</v>
      </c>
      <c r="J328" s="4">
        <v>24.7115756626307</v>
      </c>
      <c r="K328" s="4">
        <v>0.73339699999999997</v>
      </c>
      <c r="L328" s="4" t="s">
        <v>1408</v>
      </c>
      <c r="N328" s="5" t="s">
        <v>1408</v>
      </c>
      <c r="O328" s="5">
        <v>1381100</v>
      </c>
      <c r="P328" s="6" t="e">
        <v>#VALUE!</v>
      </c>
      <c r="Q328" s="1"/>
      <c r="R328" s="7" t="e">
        <f ca="1">_xll.SNL.Clients.Office.Excel.Functions.SPG(A328, "SP_TOTAL_DEBT", "LTM")</f>
        <v>#NAME?</v>
      </c>
      <c r="S328" s="8" t="e">
        <f ca="1">_xll.SNL.Clients.Office.Excel.Functions.SPG(A328, "SP_DEBT_TO_EQUITY", "LTM")</f>
        <v>#NAME?</v>
      </c>
      <c r="U328" s="9" t="e">
        <f t="shared" ca="1" si="5"/>
        <v>#VALUE!</v>
      </c>
      <c r="Y328" s="1"/>
      <c r="Z328" s="1"/>
      <c r="AA328" s="10"/>
      <c r="AB328" s="1" t="s">
        <v>704</v>
      </c>
      <c r="AC328" s="1" t="s">
        <v>34</v>
      </c>
      <c r="AD328" s="10">
        <v>3083.57454352279</v>
      </c>
      <c r="AE328" s="1" t="s">
        <v>42</v>
      </c>
    </row>
    <row r="329" spans="1:31" x14ac:dyDescent="0.2">
      <c r="A329" s="1" t="s">
        <v>705</v>
      </c>
      <c r="B329" s="2" t="s">
        <v>1408</v>
      </c>
      <c r="C329" s="3">
        <v>14.668944015821801</v>
      </c>
      <c r="D329" s="2">
        <v>15.938000000000001</v>
      </c>
      <c r="E329" s="2">
        <v>29.473863000000001</v>
      </c>
      <c r="F329" s="4">
        <v>9.7000000000000003E-2</v>
      </c>
      <c r="G329" s="4">
        <v>9.8651263731426297</v>
      </c>
      <c r="H329" s="2" t="s">
        <v>1408</v>
      </c>
      <c r="I329" s="4" t="s">
        <v>1408</v>
      </c>
      <c r="J329" s="4">
        <v>-0.53845962355847199</v>
      </c>
      <c r="K329" s="4">
        <v>0.387353</v>
      </c>
      <c r="L329" s="4" t="s">
        <v>1408</v>
      </c>
      <c r="N329" s="5" t="s">
        <v>1408</v>
      </c>
      <c r="O329" s="5">
        <v>194435</v>
      </c>
      <c r="P329" s="6" t="e">
        <v>#VALUE!</v>
      </c>
      <c r="Q329" s="1"/>
      <c r="R329" s="7" t="e">
        <f ca="1">_xll.SNL.Clients.Office.Excel.Functions.SPG(A329, "SP_TOTAL_DEBT", "LTM")</f>
        <v>#NAME?</v>
      </c>
      <c r="S329" s="8" t="e">
        <f ca="1">_xll.SNL.Clients.Office.Excel.Functions.SPG(A329, "SP_DEBT_TO_EQUITY", "LTM")</f>
        <v>#NAME?</v>
      </c>
      <c r="U329" s="9" t="e">
        <f t="shared" ca="1" si="5"/>
        <v>#VALUE!</v>
      </c>
      <c r="Y329" s="1"/>
      <c r="Z329" s="1"/>
      <c r="AA329" s="10"/>
      <c r="AB329" s="1" t="s">
        <v>706</v>
      </c>
      <c r="AC329" s="1" t="s">
        <v>34</v>
      </c>
      <c r="AD329" s="10">
        <v>1251.54076310551</v>
      </c>
      <c r="AE329" s="1" t="s">
        <v>42</v>
      </c>
    </row>
    <row r="330" spans="1:31" x14ac:dyDescent="0.2">
      <c r="A330" s="1" t="s">
        <v>707</v>
      </c>
      <c r="B330" s="2">
        <v>5.3280000000000003</v>
      </c>
      <c r="C330" s="3" t="s">
        <v>1408</v>
      </c>
      <c r="D330" s="2">
        <v>26.396999999999998</v>
      </c>
      <c r="E330" s="2">
        <v>9.7947679999999995</v>
      </c>
      <c r="F330" s="4">
        <v>3.3140000000000001</v>
      </c>
      <c r="G330" s="4" t="s">
        <v>1408</v>
      </c>
      <c r="H330" s="2">
        <v>1.3759999999999999</v>
      </c>
      <c r="I330" s="4">
        <v>0.41499999999999998</v>
      </c>
      <c r="J330" s="4" t="s">
        <v>1408</v>
      </c>
      <c r="K330" s="4">
        <v>0.57355299999999998</v>
      </c>
      <c r="L330" s="4">
        <v>4.717905</v>
      </c>
      <c r="N330" s="5">
        <v>-13136088.75</v>
      </c>
      <c r="O330" s="5">
        <v>2308491</v>
      </c>
      <c r="P330" s="6">
        <v>-5.6903356998142947</v>
      </c>
      <c r="Q330" s="1"/>
      <c r="R330" s="7" t="e">
        <f ca="1">_xll.SNL.Clients.Office.Excel.Functions.SPG(A330, "SP_TOTAL_DEBT", "LTM")</f>
        <v>#NAME?</v>
      </c>
      <c r="S330" s="8" t="e">
        <f ca="1">_xll.SNL.Clients.Office.Excel.Functions.SPG(A330, "SP_DEBT_TO_EQUITY", "LTM")</f>
        <v>#NAME?</v>
      </c>
      <c r="U330" s="9" t="e">
        <f t="shared" ca="1" si="5"/>
        <v>#NAME?</v>
      </c>
      <c r="Y330" s="1"/>
      <c r="Z330" s="1"/>
      <c r="AA330" s="10"/>
      <c r="AB330" s="1" t="s">
        <v>708</v>
      </c>
      <c r="AC330" s="1" t="s">
        <v>123</v>
      </c>
      <c r="AD330" s="10">
        <v>4342.1869358889298</v>
      </c>
      <c r="AE330" s="1" t="s">
        <v>42</v>
      </c>
    </row>
    <row r="331" spans="1:31" x14ac:dyDescent="0.2">
      <c r="A331" s="1" t="s">
        <v>709</v>
      </c>
      <c r="B331" s="2" t="s">
        <v>1408</v>
      </c>
      <c r="C331" s="3" t="s">
        <v>1408</v>
      </c>
      <c r="D331" s="2">
        <v>9.6549999999999994</v>
      </c>
      <c r="E331" s="2">
        <v>38.704999999999998</v>
      </c>
      <c r="F331" s="4">
        <v>1.532</v>
      </c>
      <c r="G331" s="4" t="s">
        <v>1408</v>
      </c>
      <c r="H331" s="2" t="s">
        <v>1408</v>
      </c>
      <c r="I331" s="4" t="s">
        <v>1408</v>
      </c>
      <c r="J331" s="4" t="s">
        <v>1408</v>
      </c>
      <c r="K331" s="4">
        <v>2.8447469999999999</v>
      </c>
      <c r="L331" s="4" t="s">
        <v>1408</v>
      </c>
      <c r="N331" s="5" t="s">
        <v>1408</v>
      </c>
      <c r="O331" s="5">
        <v>6631331</v>
      </c>
      <c r="P331" s="6" t="e">
        <v>#VALUE!</v>
      </c>
      <c r="Q331" s="1"/>
      <c r="R331" s="7" t="e">
        <f ca="1">_xll.SNL.Clients.Office.Excel.Functions.SPG(A331, "SP_TOTAL_DEBT", "LTM")</f>
        <v>#NAME?</v>
      </c>
      <c r="S331" s="8" t="e">
        <f ca="1">_xll.SNL.Clients.Office.Excel.Functions.SPG(A331, "SP_DEBT_TO_EQUITY", "LTM")</f>
        <v>#NAME?</v>
      </c>
      <c r="U331" s="9" t="e">
        <f t="shared" ca="1" si="5"/>
        <v>#VALUE!</v>
      </c>
      <c r="Y331" s="1"/>
      <c r="Z331" s="1"/>
      <c r="AA331" s="10"/>
      <c r="AB331" s="1" t="s">
        <v>710</v>
      </c>
      <c r="AC331" s="1" t="s">
        <v>34</v>
      </c>
      <c r="AD331" s="10">
        <v>14848.137821779899</v>
      </c>
      <c r="AE331" s="1" t="s">
        <v>42</v>
      </c>
    </row>
    <row r="332" spans="1:31" x14ac:dyDescent="0.2">
      <c r="A332" s="1" t="s">
        <v>711</v>
      </c>
      <c r="B332" s="2" t="s">
        <v>1408</v>
      </c>
      <c r="C332" s="3">
        <v>15.4384055872722</v>
      </c>
      <c r="D332" s="2">
        <v>11.673</v>
      </c>
      <c r="E332" s="2">
        <v>10.296111</v>
      </c>
      <c r="F332" s="4">
        <v>2.4460000000000002</v>
      </c>
      <c r="G332" s="4">
        <v>21.415917967499698</v>
      </c>
      <c r="H332" s="2" t="s">
        <v>1408</v>
      </c>
      <c r="I332" s="4" t="s">
        <v>1408</v>
      </c>
      <c r="J332" s="4">
        <v>52.410754977537898</v>
      </c>
      <c r="K332" s="4">
        <v>2.143113</v>
      </c>
      <c r="L332" s="4" t="s">
        <v>1408</v>
      </c>
      <c r="N332" s="5" t="s">
        <v>1408</v>
      </c>
      <c r="O332" s="5">
        <v>53142042</v>
      </c>
      <c r="P332" s="6" t="e">
        <v>#VALUE!</v>
      </c>
      <c r="Q332" s="1"/>
      <c r="R332" s="7" t="e">
        <f ca="1">_xll.SNL.Clients.Office.Excel.Functions.SPG(A332, "SP_TOTAL_DEBT", "LTM")</f>
        <v>#NAME?</v>
      </c>
      <c r="S332" s="8" t="e">
        <f ca="1">_xll.SNL.Clients.Office.Excel.Functions.SPG(A332, "SP_DEBT_TO_EQUITY", "LTM")</f>
        <v>#NAME?</v>
      </c>
      <c r="U332" s="9" t="e">
        <f t="shared" ca="1" si="5"/>
        <v>#VALUE!</v>
      </c>
      <c r="Y332" s="1"/>
      <c r="Z332" s="1"/>
      <c r="AA332" s="10"/>
      <c r="AB332" s="1" t="s">
        <v>712</v>
      </c>
      <c r="AC332" s="1" t="s">
        <v>34</v>
      </c>
      <c r="AD332" s="10">
        <v>29406.708340361401</v>
      </c>
      <c r="AE332" s="1" t="s">
        <v>42</v>
      </c>
    </row>
    <row r="333" spans="1:31" x14ac:dyDescent="0.2">
      <c r="A333" s="1" t="s">
        <v>713</v>
      </c>
      <c r="B333" s="2" t="s">
        <v>1408</v>
      </c>
      <c r="C333" s="3">
        <v>-19.772185282006699</v>
      </c>
      <c r="D333" s="2">
        <v>21.553000000000001</v>
      </c>
      <c r="E333" s="2">
        <v>24.474651999999999</v>
      </c>
      <c r="F333" s="4">
        <v>3.464</v>
      </c>
      <c r="G333" s="4">
        <v>8.7290093868493699</v>
      </c>
      <c r="H333" s="2" t="s">
        <v>1408</v>
      </c>
      <c r="I333" s="4" t="s">
        <v>1408</v>
      </c>
      <c r="J333" s="4">
        <v>24.949968808221801</v>
      </c>
      <c r="K333" s="4">
        <v>3.0095700000000001</v>
      </c>
      <c r="L333" s="4" t="s">
        <v>1408</v>
      </c>
      <c r="N333" s="5" t="s">
        <v>1408</v>
      </c>
      <c r="O333" s="5">
        <v>207893027</v>
      </c>
      <c r="P333" s="6" t="e">
        <v>#VALUE!</v>
      </c>
      <c r="Q333" s="1"/>
      <c r="R333" s="7" t="e">
        <f ca="1">_xll.SNL.Clients.Office.Excel.Functions.SPG(A333, "SP_TOTAL_DEBT", "LTM")</f>
        <v>#NAME?</v>
      </c>
      <c r="S333" s="8" t="e">
        <f ca="1">_xll.SNL.Clients.Office.Excel.Functions.SPG(A333, "SP_DEBT_TO_EQUITY", "LTM")</f>
        <v>#NAME?</v>
      </c>
      <c r="U333" s="9" t="e">
        <f t="shared" ca="1" si="5"/>
        <v>#VALUE!</v>
      </c>
      <c r="Y333" s="1"/>
      <c r="Z333" s="1"/>
      <c r="AA333" s="10"/>
      <c r="AB333" s="1" t="s">
        <v>714</v>
      </c>
      <c r="AC333" s="1" t="s">
        <v>34</v>
      </c>
      <c r="AD333" s="10">
        <v>4911.0593132775803</v>
      </c>
      <c r="AE333" s="1" t="s">
        <v>42</v>
      </c>
    </row>
    <row r="334" spans="1:31" x14ac:dyDescent="0.2">
      <c r="A334" s="1" t="s">
        <v>715</v>
      </c>
      <c r="B334" s="2" t="s">
        <v>1408</v>
      </c>
      <c r="C334" s="3">
        <v>16.798410072892601</v>
      </c>
      <c r="D334" s="2">
        <v>37.488</v>
      </c>
      <c r="E334" s="2">
        <v>10.712</v>
      </c>
      <c r="F334" s="4">
        <v>4.8250000000000002</v>
      </c>
      <c r="G334" s="4">
        <v>14.8039188087106</v>
      </c>
      <c r="H334" s="2" t="s">
        <v>1408</v>
      </c>
      <c r="I334" s="4" t="s">
        <v>1408</v>
      </c>
      <c r="J334" s="4">
        <v>74.229586795221493</v>
      </c>
      <c r="K334" s="4">
        <v>1.4735339999999999</v>
      </c>
      <c r="L334" s="4" t="s">
        <v>1408</v>
      </c>
      <c r="N334" s="5" t="s">
        <v>1408</v>
      </c>
      <c r="O334" s="5">
        <v>30985070</v>
      </c>
      <c r="P334" s="6" t="e">
        <v>#VALUE!</v>
      </c>
      <c r="Q334" s="1"/>
      <c r="R334" s="7" t="e">
        <f ca="1">_xll.SNL.Clients.Office.Excel.Functions.SPG(A334, "SP_TOTAL_DEBT", "LTM")</f>
        <v>#NAME?</v>
      </c>
      <c r="S334" s="8" t="e">
        <f ca="1">_xll.SNL.Clients.Office.Excel.Functions.SPG(A334, "SP_DEBT_TO_EQUITY", "LTM")</f>
        <v>#NAME?</v>
      </c>
      <c r="U334" s="9" t="e">
        <f t="shared" ca="1" si="5"/>
        <v>#VALUE!</v>
      </c>
      <c r="Y334" s="1"/>
      <c r="Z334" s="1"/>
      <c r="AA334" s="10"/>
      <c r="AB334" s="1" t="s">
        <v>716</v>
      </c>
      <c r="AC334" s="1" t="s">
        <v>34</v>
      </c>
      <c r="AD334" s="10">
        <v>18073.503286011401</v>
      </c>
      <c r="AE334" s="1" t="s">
        <v>42</v>
      </c>
    </row>
    <row r="335" spans="1:31" x14ac:dyDescent="0.2">
      <c r="A335" s="1" t="s">
        <v>717</v>
      </c>
      <c r="B335" s="2" t="s">
        <v>1408</v>
      </c>
      <c r="C335" s="3" t="s">
        <v>1408</v>
      </c>
      <c r="D335" s="2">
        <v>19.076000000000001</v>
      </c>
      <c r="E335" s="2">
        <v>8.5929110000000009</v>
      </c>
      <c r="F335" s="4">
        <v>0.59399999999999997</v>
      </c>
      <c r="G335" s="4">
        <v>7.90142680653942</v>
      </c>
      <c r="H335" s="2" t="s">
        <v>1408</v>
      </c>
      <c r="I335" s="4" t="s">
        <v>1408</v>
      </c>
      <c r="J335" s="4" t="s">
        <v>1408</v>
      </c>
      <c r="K335" s="4">
        <v>0.65925</v>
      </c>
      <c r="L335" s="4" t="s">
        <v>1408</v>
      </c>
      <c r="N335" s="5" t="s">
        <v>1408</v>
      </c>
      <c r="O335" s="5" t="s">
        <v>1408</v>
      </c>
      <c r="P335" s="6" t="e">
        <v>#VALUE!</v>
      </c>
      <c r="Q335" s="1"/>
      <c r="R335" s="7" t="e">
        <f ca="1">_xll.SNL.Clients.Office.Excel.Functions.SPG(A335, "SP_TOTAL_DEBT", "LTM")</f>
        <v>#NAME?</v>
      </c>
      <c r="S335" s="8" t="e">
        <f ca="1">_xll.SNL.Clients.Office.Excel.Functions.SPG(A335, "SP_DEBT_TO_EQUITY", "LTM")</f>
        <v>#NAME?</v>
      </c>
      <c r="U335" s="9" t="e">
        <f t="shared" ca="1" si="5"/>
        <v>#VALUE!</v>
      </c>
      <c r="Y335" s="1"/>
      <c r="Z335" s="1"/>
      <c r="AA335" s="10"/>
      <c r="AB335" s="1" t="s">
        <v>718</v>
      </c>
      <c r="AC335" s="1" t="s">
        <v>34</v>
      </c>
      <c r="AD335" s="10">
        <v>334.52324437931702</v>
      </c>
      <c r="AE335" s="1" t="s">
        <v>42</v>
      </c>
    </row>
    <row r="336" spans="1:31" x14ac:dyDescent="0.2">
      <c r="A336" s="1" t="s">
        <v>719</v>
      </c>
      <c r="B336" s="2">
        <v>16.692</v>
      </c>
      <c r="C336" s="3" t="s">
        <v>1408</v>
      </c>
      <c r="D336" s="2">
        <v>10.945</v>
      </c>
      <c r="E336" s="2">
        <v>9.3997580000000003</v>
      </c>
      <c r="F336" s="4">
        <v>1.6439999999999999</v>
      </c>
      <c r="G336" s="4" t="s">
        <v>1408</v>
      </c>
      <c r="H336" s="2">
        <v>4.6180000000000003</v>
      </c>
      <c r="I336" s="4">
        <v>0.45900000000000002</v>
      </c>
      <c r="J336" s="4" t="s">
        <v>1408</v>
      </c>
      <c r="K336" s="4">
        <v>2.0550459999999999</v>
      </c>
      <c r="L336" s="4">
        <v>5.1033949999999999</v>
      </c>
      <c r="N336" s="5">
        <v>8229628.1600000001</v>
      </c>
      <c r="O336" s="5">
        <v>3337930.4720000001</v>
      </c>
      <c r="P336" s="6">
        <v>2.4654881906719357</v>
      </c>
      <c r="Q336" s="1"/>
      <c r="R336" s="7" t="e">
        <f ca="1">_xll.SNL.Clients.Office.Excel.Functions.SPG(A336, "SP_TOTAL_DEBT", "LTM")</f>
        <v>#NAME?</v>
      </c>
      <c r="S336" s="8" t="e">
        <f ca="1">_xll.SNL.Clients.Office.Excel.Functions.SPG(A336, "SP_DEBT_TO_EQUITY", "LTM")</f>
        <v>#NAME?</v>
      </c>
      <c r="U336" s="9" t="e">
        <f t="shared" ca="1" si="5"/>
        <v>#NAME?</v>
      </c>
      <c r="Y336" s="1"/>
      <c r="Z336" s="1"/>
      <c r="AA336" s="10"/>
      <c r="AB336" s="1" t="s">
        <v>720</v>
      </c>
      <c r="AC336" s="1" t="s">
        <v>108</v>
      </c>
      <c r="AD336" s="10">
        <v>1819.0583547722099</v>
      </c>
      <c r="AE336" s="1" t="s">
        <v>42</v>
      </c>
    </row>
    <row r="337" spans="1:31" x14ac:dyDescent="0.2">
      <c r="A337" s="1" t="s">
        <v>721</v>
      </c>
      <c r="B337" s="2">
        <v>12.885999999999999</v>
      </c>
      <c r="C337" s="3" t="s">
        <v>1408</v>
      </c>
      <c r="D337" s="2">
        <v>-15.164999999999999</v>
      </c>
      <c r="E337" s="2">
        <v>11.610179</v>
      </c>
      <c r="F337" s="4">
        <v>1.831</v>
      </c>
      <c r="G337" s="4" t="s">
        <v>1408</v>
      </c>
      <c r="H337" s="2">
        <v>17.204000000000001</v>
      </c>
      <c r="I337" s="4">
        <v>0.20300000000000001</v>
      </c>
      <c r="J337" s="4" t="s">
        <v>1408</v>
      </c>
      <c r="K337" s="4">
        <v>2.7429899999999998</v>
      </c>
      <c r="L337" s="4">
        <v>7.2860719999999999</v>
      </c>
      <c r="N337" s="5">
        <v>2719562.7919999999</v>
      </c>
      <c r="O337" s="5">
        <v>2432831.0449999999</v>
      </c>
      <c r="P337" s="6">
        <v>1.117859293019668</v>
      </c>
      <c r="Q337" s="1"/>
      <c r="R337" s="7" t="e">
        <f ca="1">_xll.SNL.Clients.Office.Excel.Functions.SPG(A337, "SP_TOTAL_DEBT", "LTM")</f>
        <v>#NAME?</v>
      </c>
      <c r="S337" s="8" t="e">
        <f ca="1">_xll.SNL.Clients.Office.Excel.Functions.SPG(A337, "SP_DEBT_TO_EQUITY", "LTM")</f>
        <v>#NAME?</v>
      </c>
      <c r="U337" s="9" t="e">
        <f t="shared" ca="1" si="5"/>
        <v>#NAME?</v>
      </c>
      <c r="Y337" s="1"/>
      <c r="Z337" s="1"/>
      <c r="AA337" s="10"/>
      <c r="AB337" s="1" t="s">
        <v>722</v>
      </c>
      <c r="AC337" s="1" t="s">
        <v>37</v>
      </c>
      <c r="AD337" s="10">
        <v>1674.5025048950399</v>
      </c>
      <c r="AE337" s="1" t="s">
        <v>42</v>
      </c>
    </row>
    <row r="338" spans="1:31" x14ac:dyDescent="0.2">
      <c r="A338" s="1" t="s">
        <v>723</v>
      </c>
      <c r="B338" s="2" t="s">
        <v>1408</v>
      </c>
      <c r="C338" s="3">
        <v>45.495531727684501</v>
      </c>
      <c r="D338" s="2">
        <v>35.814</v>
      </c>
      <c r="E338" s="2" t="s">
        <v>1408</v>
      </c>
      <c r="F338" s="4">
        <v>1.179</v>
      </c>
      <c r="G338" s="4">
        <v>14.433998702037201</v>
      </c>
      <c r="H338" s="2" t="s">
        <v>1408</v>
      </c>
      <c r="I338" s="4" t="s">
        <v>1408</v>
      </c>
      <c r="J338" s="4">
        <v>29.422568106437701</v>
      </c>
      <c r="K338" s="4">
        <v>1.141561</v>
      </c>
      <c r="L338" s="4" t="s">
        <v>1408</v>
      </c>
      <c r="N338" s="5" t="s">
        <v>1408</v>
      </c>
      <c r="O338" s="5">
        <v>179358</v>
      </c>
      <c r="P338" s="6" t="e">
        <v>#VALUE!</v>
      </c>
      <c r="Q338" s="1"/>
      <c r="R338" s="7" t="e">
        <f ca="1">_xll.SNL.Clients.Office.Excel.Functions.SPG(A338, "SP_TOTAL_DEBT", "LTM")</f>
        <v>#NAME?</v>
      </c>
      <c r="S338" s="8" t="e">
        <f ca="1">_xll.SNL.Clients.Office.Excel.Functions.SPG(A338, "SP_DEBT_TO_EQUITY", "LTM")</f>
        <v>#NAME?</v>
      </c>
      <c r="U338" s="9" t="e">
        <f t="shared" ca="1" si="5"/>
        <v>#VALUE!</v>
      </c>
      <c r="Y338" s="1"/>
      <c r="Z338" s="1"/>
      <c r="AA338" s="10"/>
      <c r="AB338" s="1" t="s">
        <v>724</v>
      </c>
      <c r="AC338" s="1" t="s">
        <v>34</v>
      </c>
      <c r="AD338" s="10">
        <v>1193.0795670836401</v>
      </c>
      <c r="AE338" s="1" t="s">
        <v>42</v>
      </c>
    </row>
    <row r="339" spans="1:31" x14ac:dyDescent="0.2">
      <c r="A339" s="1" t="s">
        <v>725</v>
      </c>
      <c r="B339" s="2" t="s">
        <v>1408</v>
      </c>
      <c r="C339" s="3" t="s">
        <v>1408</v>
      </c>
      <c r="D339" s="2">
        <v>3.3090000000000002</v>
      </c>
      <c r="E339" s="2">
        <v>23.188568</v>
      </c>
      <c r="F339" s="4">
        <v>2.35</v>
      </c>
      <c r="G339" s="4">
        <v>-5.9109316998034096</v>
      </c>
      <c r="H339" s="2" t="s">
        <v>1408</v>
      </c>
      <c r="I339" s="4" t="s">
        <v>1408</v>
      </c>
      <c r="J339" s="4">
        <v>7.4774485902993399</v>
      </c>
      <c r="K339" s="4">
        <v>2.4509650000000001</v>
      </c>
      <c r="L339" s="4" t="s">
        <v>1408</v>
      </c>
      <c r="N339" s="5" t="s">
        <v>1408</v>
      </c>
      <c r="O339" s="5">
        <v>17257264</v>
      </c>
      <c r="P339" s="6" t="e">
        <v>#VALUE!</v>
      </c>
      <c r="Q339" s="1"/>
      <c r="R339" s="7" t="e">
        <f ca="1">_xll.SNL.Clients.Office.Excel.Functions.SPG(A339, "SP_TOTAL_DEBT", "LTM")</f>
        <v>#NAME?</v>
      </c>
      <c r="S339" s="8" t="e">
        <f ca="1">_xll.SNL.Clients.Office.Excel.Functions.SPG(A339, "SP_DEBT_TO_EQUITY", "LTM")</f>
        <v>#NAME?</v>
      </c>
      <c r="U339" s="9" t="e">
        <f t="shared" ca="1" si="5"/>
        <v>#VALUE!</v>
      </c>
      <c r="Y339" s="1"/>
      <c r="Z339" s="1"/>
      <c r="AA339" s="10"/>
      <c r="AB339" s="1" t="s">
        <v>726</v>
      </c>
      <c r="AC339" s="1" t="s">
        <v>34</v>
      </c>
      <c r="AD339" s="10">
        <v>609.04843078668705</v>
      </c>
      <c r="AE339" s="1" t="s">
        <v>42</v>
      </c>
    </row>
    <row r="340" spans="1:31" x14ac:dyDescent="0.2">
      <c r="A340" s="1" t="s">
        <v>727</v>
      </c>
      <c r="B340" s="2" t="s">
        <v>1408</v>
      </c>
      <c r="C340" s="3">
        <v>-23.353293413173599</v>
      </c>
      <c r="D340" s="2">
        <v>-7.4870000000000001</v>
      </c>
      <c r="E340" s="2">
        <v>11.554686999999999</v>
      </c>
      <c r="F340" s="4">
        <v>0.91800000000000004</v>
      </c>
      <c r="G340" s="4">
        <v>10.086448551011999</v>
      </c>
      <c r="H340" s="2" t="s">
        <v>1408</v>
      </c>
      <c r="I340" s="4" t="s">
        <v>1408</v>
      </c>
      <c r="J340" s="4">
        <v>29.565009151400101</v>
      </c>
      <c r="K340" s="4">
        <v>1.1255280000000001</v>
      </c>
      <c r="L340" s="4" t="s">
        <v>1408</v>
      </c>
      <c r="N340" s="5" t="s">
        <v>1408</v>
      </c>
      <c r="O340" s="5">
        <v>30009</v>
      </c>
      <c r="P340" s="6" t="e">
        <v>#VALUE!</v>
      </c>
      <c r="Q340" s="1"/>
      <c r="R340" s="7" t="e">
        <f ca="1">_xll.SNL.Clients.Office.Excel.Functions.SPG(A340, "SP_TOTAL_DEBT", "LTM")</f>
        <v>#NAME?</v>
      </c>
      <c r="S340" s="8" t="e">
        <f ca="1">_xll.SNL.Clients.Office.Excel.Functions.SPG(A340, "SP_DEBT_TO_EQUITY", "LTM")</f>
        <v>#NAME?</v>
      </c>
      <c r="U340" s="9" t="e">
        <f t="shared" ca="1" si="5"/>
        <v>#VALUE!</v>
      </c>
      <c r="Y340" s="1"/>
      <c r="Z340" s="1"/>
      <c r="AA340" s="10"/>
      <c r="AB340" s="1" t="s">
        <v>728</v>
      </c>
      <c r="AC340" s="1" t="s">
        <v>34</v>
      </c>
      <c r="AD340" s="10">
        <v>351.87423555999999</v>
      </c>
      <c r="AE340" s="1" t="s">
        <v>25</v>
      </c>
    </row>
    <row r="341" spans="1:31" x14ac:dyDescent="0.2">
      <c r="A341" s="1" t="s">
        <v>729</v>
      </c>
      <c r="B341" s="2">
        <v>3.1560000000000001</v>
      </c>
      <c r="C341" s="3" t="s">
        <v>1408</v>
      </c>
      <c r="D341" s="2">
        <v>3.6059999999999999</v>
      </c>
      <c r="E341" s="2">
        <v>2.2576969999999998</v>
      </c>
      <c r="F341" s="4">
        <v>2.5649999999999999</v>
      </c>
      <c r="G341" s="4" t="s">
        <v>1408</v>
      </c>
      <c r="H341" s="2">
        <v>0.67800000000000005</v>
      </c>
      <c r="I341" s="4">
        <v>0.14899999999999999</v>
      </c>
      <c r="J341" s="4" t="s">
        <v>1408</v>
      </c>
      <c r="K341" s="4">
        <v>0.97268600000000005</v>
      </c>
      <c r="L341" s="4">
        <v>16.611865000000002</v>
      </c>
      <c r="N341" s="5">
        <v>186086.375</v>
      </c>
      <c r="O341" s="5">
        <v>621087</v>
      </c>
      <c r="P341" s="6">
        <v>0.29961402347819227</v>
      </c>
      <c r="Q341" s="1"/>
      <c r="R341" s="7" t="e">
        <f ca="1">_xll.SNL.Clients.Office.Excel.Functions.SPG(A341, "SP_TOTAL_DEBT", "LTM")</f>
        <v>#NAME?</v>
      </c>
      <c r="S341" s="8" t="e">
        <f ca="1">_xll.SNL.Clients.Office.Excel.Functions.SPG(A341, "SP_DEBT_TO_EQUITY", "LTM")</f>
        <v>#NAME?</v>
      </c>
      <c r="U341" s="9" t="e">
        <f t="shared" ca="1" si="5"/>
        <v>#NAME?</v>
      </c>
      <c r="Y341" s="1"/>
      <c r="Z341" s="1"/>
      <c r="AA341" s="10"/>
      <c r="AB341" s="1" t="s">
        <v>730</v>
      </c>
      <c r="AC341" s="1" t="s">
        <v>37</v>
      </c>
      <c r="AD341" s="10">
        <v>757.06926822085495</v>
      </c>
      <c r="AE341" s="1" t="s">
        <v>25</v>
      </c>
    </row>
    <row r="342" spans="1:31" x14ac:dyDescent="0.2">
      <c r="A342" s="1" t="s">
        <v>731</v>
      </c>
      <c r="B342" s="2">
        <v>9.6219999999999999</v>
      </c>
      <c r="C342" s="3" t="s">
        <v>1408</v>
      </c>
      <c r="D342" s="2">
        <v>2.165</v>
      </c>
      <c r="E342" s="2">
        <v>3.3598330000000001</v>
      </c>
      <c r="F342" s="4">
        <v>2.681</v>
      </c>
      <c r="G342" s="4" t="s">
        <v>1408</v>
      </c>
      <c r="H342" s="2">
        <v>1.1299999999999999</v>
      </c>
      <c r="I342" s="4">
        <v>0.2</v>
      </c>
      <c r="J342" s="4" t="s">
        <v>1408</v>
      </c>
      <c r="K342" s="4">
        <v>0.89416200000000001</v>
      </c>
      <c r="L342" s="4">
        <v>2.8027690000000001</v>
      </c>
      <c r="N342" s="5">
        <v>1469732.75</v>
      </c>
      <c r="O342" s="5">
        <v>1228457</v>
      </c>
      <c r="P342" s="6">
        <v>1.1964055314919448</v>
      </c>
      <c r="Q342" s="1"/>
      <c r="R342" s="7" t="e">
        <f ca="1">_xll.SNL.Clients.Office.Excel.Functions.SPG(A342, "SP_TOTAL_DEBT", "LTM")</f>
        <v>#NAME?</v>
      </c>
      <c r="S342" s="8" t="e">
        <f ca="1">_xll.SNL.Clients.Office.Excel.Functions.SPG(A342, "SP_DEBT_TO_EQUITY", "LTM")</f>
        <v>#NAME?</v>
      </c>
      <c r="U342" s="9" t="e">
        <f t="shared" ca="1" si="5"/>
        <v>#NAME?</v>
      </c>
      <c r="Y342" s="1"/>
      <c r="Z342" s="1"/>
      <c r="AA342" s="10"/>
      <c r="AB342" s="1" t="s">
        <v>732</v>
      </c>
      <c r="AC342" s="1" t="s">
        <v>108</v>
      </c>
      <c r="AD342" s="10">
        <v>629.24555306644095</v>
      </c>
      <c r="AE342" s="1" t="s">
        <v>42</v>
      </c>
    </row>
    <row r="343" spans="1:31" x14ac:dyDescent="0.2">
      <c r="A343" s="1" t="s">
        <v>733</v>
      </c>
      <c r="B343" s="2">
        <v>-5.2270000000000003</v>
      </c>
      <c r="C343" s="3" t="s">
        <v>1409</v>
      </c>
      <c r="D343" s="2">
        <v>11.411</v>
      </c>
      <c r="E343" s="2" t="s">
        <v>1409</v>
      </c>
      <c r="F343" s="4">
        <v>-3.5259999999999998</v>
      </c>
      <c r="G343" s="4">
        <v>-9.0828230563876193</v>
      </c>
      <c r="H343" s="2">
        <v>3.7229999999999999</v>
      </c>
      <c r="I343" s="4">
        <v>0.47399999999999998</v>
      </c>
      <c r="J343" s="4" t="s">
        <v>1408</v>
      </c>
      <c r="K343" s="4">
        <v>7.7419140000000004</v>
      </c>
      <c r="L343" s="4" t="s">
        <v>1409</v>
      </c>
      <c r="N343" s="5">
        <v>82163.375</v>
      </c>
      <c r="O343" s="5">
        <v>-69608</v>
      </c>
      <c r="P343" s="6">
        <v>-1.1803725864843122</v>
      </c>
      <c r="Q343" s="1"/>
      <c r="R343" s="7" t="e">
        <f ca="1">_xll.SNL.Clients.Office.Excel.Functions.SPG(A343, "SP_TOTAL_DEBT", "LTM")</f>
        <v>#NAME?</v>
      </c>
      <c r="S343" s="8" t="e">
        <f ca="1">_xll.SNL.Clients.Office.Excel.Functions.SPG(A343, "SP_DEBT_TO_EQUITY", "LTM")</f>
        <v>#NAME?</v>
      </c>
      <c r="U343" s="9" t="e">
        <f t="shared" ca="1" si="5"/>
        <v>#NAME?</v>
      </c>
      <c r="Y343" s="1"/>
      <c r="Z343" s="1"/>
      <c r="AA343" s="10"/>
      <c r="AB343" s="1" t="s">
        <v>734</v>
      </c>
      <c r="AC343" s="1" t="s">
        <v>448</v>
      </c>
      <c r="AD343" s="10">
        <v>9150.0033772799998</v>
      </c>
      <c r="AE343" s="1" t="s">
        <v>25</v>
      </c>
    </row>
    <row r="344" spans="1:31" x14ac:dyDescent="0.2">
      <c r="A344" s="1" t="s">
        <v>735</v>
      </c>
      <c r="B344" s="2">
        <v>7.8520000000000003</v>
      </c>
      <c r="C344" s="3">
        <v>14.5610278372591</v>
      </c>
      <c r="D344" s="2">
        <v>-25.876999999999999</v>
      </c>
      <c r="E344" s="2">
        <v>22.5</v>
      </c>
      <c r="F344" s="4">
        <v>2.0579999999999998</v>
      </c>
      <c r="G344" s="4">
        <v>30.2982528926382</v>
      </c>
      <c r="H344" s="2">
        <v>2.2480000000000002</v>
      </c>
      <c r="I344" s="4">
        <v>0.23200000000000001</v>
      </c>
      <c r="J344" s="4">
        <v>6.6902969729363297</v>
      </c>
      <c r="K344" s="4">
        <v>0.67401299999999997</v>
      </c>
      <c r="L344" s="4">
        <v>12.637708999999999</v>
      </c>
      <c r="N344" s="5">
        <v>21535.75</v>
      </c>
      <c r="O344" s="5">
        <v>38985</v>
      </c>
      <c r="P344" s="6">
        <v>0.55241118378863663</v>
      </c>
      <c r="Q344" s="1"/>
      <c r="R344" s="7" t="e">
        <f ca="1">_xll.SNL.Clients.Office.Excel.Functions.SPG(A344, "SP_TOTAL_DEBT", "LTM")</f>
        <v>#NAME?</v>
      </c>
      <c r="S344" s="8" t="e">
        <f ca="1">_xll.SNL.Clients.Office.Excel.Functions.SPG(A344, "SP_DEBT_TO_EQUITY", "LTM")</f>
        <v>#NAME?</v>
      </c>
      <c r="U344" s="9" t="e">
        <f t="shared" ca="1" si="5"/>
        <v>#NAME?</v>
      </c>
      <c r="Y344" s="1"/>
      <c r="Z344" s="1"/>
      <c r="AA344" s="10"/>
      <c r="AB344" s="1" t="s">
        <v>736</v>
      </c>
      <c r="AC344" s="1" t="s">
        <v>164</v>
      </c>
      <c r="AD344" s="10">
        <v>855.35571800000002</v>
      </c>
      <c r="AE344" s="1" t="s">
        <v>25</v>
      </c>
    </row>
    <row r="345" spans="1:31" x14ac:dyDescent="0.2">
      <c r="A345" s="1" t="s">
        <v>737</v>
      </c>
      <c r="B345" s="2">
        <v>-6.3440000000000003</v>
      </c>
      <c r="C345" s="3" t="s">
        <v>1409</v>
      </c>
      <c r="D345" s="2">
        <v>27.219000000000001</v>
      </c>
      <c r="E345" s="2" t="s">
        <v>1409</v>
      </c>
      <c r="F345" s="4">
        <v>0.53100000000000003</v>
      </c>
      <c r="G345" s="4">
        <v>0.96883685652153095</v>
      </c>
      <c r="H345" s="2">
        <v>1.4019999999999999</v>
      </c>
      <c r="I345" s="4">
        <v>0.65</v>
      </c>
      <c r="J345" s="4" t="s">
        <v>1408</v>
      </c>
      <c r="K345" s="4">
        <v>9.1581340000000004</v>
      </c>
      <c r="L345" s="4">
        <v>16.129531</v>
      </c>
      <c r="N345" s="5">
        <v>-84539</v>
      </c>
      <c r="O345" s="5">
        <v>-13096</v>
      </c>
      <c r="P345" s="6">
        <v>6.4553298717165548</v>
      </c>
      <c r="Q345" s="1"/>
      <c r="R345" s="7" t="e">
        <f ca="1">_xll.SNL.Clients.Office.Excel.Functions.SPG(A345, "SP_TOTAL_DEBT", "LTM")</f>
        <v>#NAME?</v>
      </c>
      <c r="S345" s="8" t="e">
        <f ca="1">_xll.SNL.Clients.Office.Excel.Functions.SPG(A345, "SP_DEBT_TO_EQUITY", "LTM")</f>
        <v>#NAME?</v>
      </c>
      <c r="U345" s="9" t="e">
        <f t="shared" ca="1" si="5"/>
        <v>#NAME?</v>
      </c>
      <c r="Y345" s="1"/>
      <c r="Z345" s="1"/>
      <c r="AA345" s="10"/>
      <c r="AB345" s="1" t="s">
        <v>738</v>
      </c>
      <c r="AC345" s="1" t="s">
        <v>24</v>
      </c>
      <c r="AD345" s="10">
        <v>680.93771479999998</v>
      </c>
      <c r="AE345" s="1" t="s">
        <v>25</v>
      </c>
    </row>
    <row r="346" spans="1:31" x14ac:dyDescent="0.2">
      <c r="A346" s="1" t="s">
        <v>739</v>
      </c>
      <c r="B346" s="2">
        <v>3.0179999999999998</v>
      </c>
      <c r="C346" s="3" t="s">
        <v>1408</v>
      </c>
      <c r="D346" s="2">
        <v>42.07</v>
      </c>
      <c r="E346" s="2">
        <v>7.4294209999999996</v>
      </c>
      <c r="F346" s="4">
        <v>3.8439999999999999</v>
      </c>
      <c r="G346" s="4" t="s">
        <v>1408</v>
      </c>
      <c r="H346" s="2">
        <v>1.57</v>
      </c>
      <c r="I346" s="4">
        <v>0.53600000000000003</v>
      </c>
      <c r="J346" s="4" t="s">
        <v>1408</v>
      </c>
      <c r="K346" s="4">
        <v>0.77746999999999999</v>
      </c>
      <c r="L346" s="4">
        <v>4.5091710000000003</v>
      </c>
      <c r="N346" s="5">
        <v>2035700</v>
      </c>
      <c r="O346" s="5">
        <v>1567400</v>
      </c>
      <c r="P346" s="6">
        <v>1.2987750414699502</v>
      </c>
      <c r="Q346" s="1"/>
      <c r="R346" s="7" t="e">
        <f ca="1">_xll.SNL.Clients.Office.Excel.Functions.SPG(A346, "SP_TOTAL_DEBT", "LTM")</f>
        <v>#NAME?</v>
      </c>
      <c r="S346" s="8" t="e">
        <f ca="1">_xll.SNL.Clients.Office.Excel.Functions.SPG(A346, "SP_DEBT_TO_EQUITY", "LTM")</f>
        <v>#NAME?</v>
      </c>
      <c r="U346" s="9" t="e">
        <f t="shared" ca="1" si="5"/>
        <v>#NAME?</v>
      </c>
      <c r="Y346" s="1"/>
      <c r="Z346" s="1"/>
      <c r="AA346" s="10"/>
      <c r="AB346" s="1" t="s">
        <v>740</v>
      </c>
      <c r="AC346" s="1" t="s">
        <v>123</v>
      </c>
      <c r="AD346" s="10">
        <v>11213.084162291199</v>
      </c>
      <c r="AE346" s="1" t="s">
        <v>42</v>
      </c>
    </row>
    <row r="347" spans="1:31" x14ac:dyDescent="0.2">
      <c r="A347" s="1" t="s">
        <v>741</v>
      </c>
      <c r="B347" s="2" t="s">
        <v>1408</v>
      </c>
      <c r="C347" s="3" t="s">
        <v>1409</v>
      </c>
      <c r="D347" s="2">
        <v>59.716000000000001</v>
      </c>
      <c r="E347" s="2">
        <v>20.554765</v>
      </c>
      <c r="F347" s="4" t="s">
        <v>1408</v>
      </c>
      <c r="G347" s="4">
        <v>-1.7345438152663</v>
      </c>
      <c r="H347" s="2">
        <v>2.1840000000000002</v>
      </c>
      <c r="I347" s="4" t="s">
        <v>1408</v>
      </c>
      <c r="J347" s="4" t="s">
        <v>1408</v>
      </c>
      <c r="K347" s="4">
        <v>0.83266099999999998</v>
      </c>
      <c r="L347" s="4">
        <v>5.5410640000000004</v>
      </c>
      <c r="N347" s="5" t="s">
        <v>1408</v>
      </c>
      <c r="O347" s="5">
        <v>87913</v>
      </c>
      <c r="P347" s="6" t="e">
        <v>#VALUE!</v>
      </c>
      <c r="Q347" s="1"/>
      <c r="R347" s="7" t="e">
        <f ca="1">_xll.SNL.Clients.Office.Excel.Functions.SPG(A347, "SP_TOTAL_DEBT", "LTM")</f>
        <v>#NAME?</v>
      </c>
      <c r="S347" s="8" t="e">
        <f ca="1">_xll.SNL.Clients.Office.Excel.Functions.SPG(A347, "SP_DEBT_TO_EQUITY", "LTM")</f>
        <v>#NAME?</v>
      </c>
      <c r="U347" s="9" t="e">
        <f t="shared" ca="1" si="5"/>
        <v>#VALUE!</v>
      </c>
      <c r="Y347" s="1"/>
      <c r="Z347" s="1"/>
      <c r="AA347" s="10"/>
      <c r="AB347" s="1" t="s">
        <v>742</v>
      </c>
      <c r="AC347" s="1" t="s">
        <v>95</v>
      </c>
      <c r="AD347" s="10">
        <v>1659.67520427</v>
      </c>
      <c r="AE347" s="1" t="s">
        <v>25</v>
      </c>
    </row>
    <row r="348" spans="1:31" x14ac:dyDescent="0.2">
      <c r="A348" s="1" t="s">
        <v>743</v>
      </c>
      <c r="B348" s="2">
        <v>15.912000000000001</v>
      </c>
      <c r="C348" s="3">
        <v>-24.371859296482398</v>
      </c>
      <c r="D348" s="2">
        <v>43.715000000000003</v>
      </c>
      <c r="E348" s="2">
        <v>35.378072000000003</v>
      </c>
      <c r="F348" s="4">
        <v>11.318</v>
      </c>
      <c r="G348" s="4">
        <v>36.280574817964798</v>
      </c>
      <c r="H348" s="2">
        <v>2.5819999999999999</v>
      </c>
      <c r="I348" s="4">
        <v>0.42</v>
      </c>
      <c r="J348" s="4" t="s">
        <v>1408</v>
      </c>
      <c r="K348" s="4">
        <v>9.264087</v>
      </c>
      <c r="L348" s="4">
        <v>17.545148000000001</v>
      </c>
      <c r="N348" s="5">
        <v>116732</v>
      </c>
      <c r="O348" s="5">
        <v>201817</v>
      </c>
      <c r="P348" s="6">
        <v>0.57840518885921399</v>
      </c>
      <c r="Q348" s="1"/>
      <c r="R348" s="7" t="e">
        <f ca="1">_xll.SNL.Clients.Office.Excel.Functions.SPG(A348, "SP_TOTAL_DEBT", "LTM")</f>
        <v>#NAME?</v>
      </c>
      <c r="S348" s="8" t="e">
        <f ca="1">_xll.SNL.Clients.Office.Excel.Functions.SPG(A348, "SP_DEBT_TO_EQUITY", "LTM")</f>
        <v>#NAME?</v>
      </c>
      <c r="U348" s="9" t="e">
        <f t="shared" ca="1" si="5"/>
        <v>#NAME?</v>
      </c>
      <c r="Y348" s="1"/>
      <c r="Z348" s="1"/>
      <c r="AA348" s="10"/>
      <c r="AB348" s="1" t="s">
        <v>744</v>
      </c>
      <c r="AC348" s="1" t="s">
        <v>37</v>
      </c>
      <c r="AD348" s="10">
        <v>4475.2928114400002</v>
      </c>
      <c r="AE348" s="1" t="s">
        <v>25</v>
      </c>
    </row>
    <row r="349" spans="1:31" x14ac:dyDescent="0.2">
      <c r="A349" s="1" t="s">
        <v>745</v>
      </c>
      <c r="B349" s="2" t="s">
        <v>1408</v>
      </c>
      <c r="C349" s="3">
        <v>-24.749163879598701</v>
      </c>
      <c r="D349" s="2">
        <v>-5.5609999999999999</v>
      </c>
      <c r="E349" s="2">
        <v>9.3466670000000001</v>
      </c>
      <c r="F349" s="4">
        <v>1.1100000000000001</v>
      </c>
      <c r="G349" s="4">
        <v>11.125301828241099</v>
      </c>
      <c r="H349" s="2" t="s">
        <v>1408</v>
      </c>
      <c r="I349" s="4" t="s">
        <v>1408</v>
      </c>
      <c r="J349" s="4" t="s">
        <v>1408</v>
      </c>
      <c r="K349" s="4">
        <v>0.95478099999999999</v>
      </c>
      <c r="L349" s="4" t="s">
        <v>1408</v>
      </c>
      <c r="N349" s="5" t="s">
        <v>1408</v>
      </c>
      <c r="O349" s="5">
        <v>392602</v>
      </c>
      <c r="P349" s="6" t="e">
        <v>#VALUE!</v>
      </c>
      <c r="Q349" s="1"/>
      <c r="R349" s="7" t="e">
        <f ca="1">_xll.SNL.Clients.Office.Excel.Functions.SPG(A349, "SP_TOTAL_DEBT", "LTM")</f>
        <v>#NAME?</v>
      </c>
      <c r="S349" s="8" t="e">
        <f ca="1">_xll.SNL.Clients.Office.Excel.Functions.SPG(A349, "SP_DEBT_TO_EQUITY", "LTM")</f>
        <v>#NAME?</v>
      </c>
      <c r="U349" s="9" t="e">
        <f t="shared" ca="1" si="5"/>
        <v>#VALUE!</v>
      </c>
      <c r="Y349" s="1"/>
      <c r="Z349" s="1"/>
      <c r="AA349" s="10"/>
      <c r="AB349" s="1" t="s">
        <v>746</v>
      </c>
      <c r="AC349" s="1" t="s">
        <v>34</v>
      </c>
      <c r="AD349" s="10">
        <v>3895.02295</v>
      </c>
      <c r="AE349" s="1" t="s">
        <v>25</v>
      </c>
    </row>
    <row r="350" spans="1:31" x14ac:dyDescent="0.2">
      <c r="A350" s="1" t="s">
        <v>747</v>
      </c>
      <c r="B350" s="2" t="s">
        <v>1408</v>
      </c>
      <c r="C350" s="3">
        <v>-21.0843373493976</v>
      </c>
      <c r="D350" s="2">
        <v>-8.0609999999999999</v>
      </c>
      <c r="E350" s="2">
        <v>5.8053439999999998</v>
      </c>
      <c r="F350" s="4">
        <v>1.071</v>
      </c>
      <c r="G350" s="4">
        <v>10.7019847360905</v>
      </c>
      <c r="H350" s="2" t="s">
        <v>1408</v>
      </c>
      <c r="I350" s="4" t="s">
        <v>1408</v>
      </c>
      <c r="J350" s="4">
        <v>43.9612853949033</v>
      </c>
      <c r="K350" s="4">
        <v>0.65469999999999995</v>
      </c>
      <c r="L350" s="4" t="s">
        <v>1408</v>
      </c>
      <c r="N350" s="5" t="s">
        <v>1408</v>
      </c>
      <c r="O350" s="5">
        <v>80041</v>
      </c>
      <c r="P350" s="6" t="e">
        <v>#VALUE!</v>
      </c>
      <c r="Q350" s="1"/>
      <c r="R350" s="7" t="e">
        <f ca="1">_xll.SNL.Clients.Office.Excel.Functions.SPG(A350, "SP_TOTAL_DEBT", "LTM")</f>
        <v>#NAME?</v>
      </c>
      <c r="S350" s="8" t="e">
        <f ca="1">_xll.SNL.Clients.Office.Excel.Functions.SPG(A350, "SP_DEBT_TO_EQUITY", "LTM")</f>
        <v>#NAME?</v>
      </c>
      <c r="U350" s="9" t="e">
        <f t="shared" ca="1" si="5"/>
        <v>#VALUE!</v>
      </c>
      <c r="Y350" s="1"/>
      <c r="Z350" s="1"/>
      <c r="AA350" s="10"/>
      <c r="AB350" s="1" t="s">
        <v>748</v>
      </c>
      <c r="AC350" s="1" t="s">
        <v>34</v>
      </c>
      <c r="AD350" s="10">
        <v>506.05905675000002</v>
      </c>
      <c r="AE350" s="1" t="s">
        <v>25</v>
      </c>
    </row>
    <row r="351" spans="1:31" x14ac:dyDescent="0.2">
      <c r="A351" s="1" t="s">
        <v>749</v>
      </c>
      <c r="B351" s="2" t="s">
        <v>1408</v>
      </c>
      <c r="C351" s="3">
        <v>-68.874172185430496</v>
      </c>
      <c r="D351" s="2">
        <v>22.443000000000001</v>
      </c>
      <c r="E351" s="2">
        <v>59.292929000000001</v>
      </c>
      <c r="F351" s="4">
        <v>0.76100000000000001</v>
      </c>
      <c r="G351" s="4">
        <v>2.5902304259679401</v>
      </c>
      <c r="H351" s="2">
        <v>15.345000000000001</v>
      </c>
      <c r="I351" s="4">
        <v>2.3E-2</v>
      </c>
      <c r="J351" s="4" t="s">
        <v>1408</v>
      </c>
      <c r="K351" s="4">
        <v>1.269944</v>
      </c>
      <c r="L351" s="4" t="s">
        <v>1408</v>
      </c>
      <c r="N351" s="5" t="s">
        <v>1408</v>
      </c>
      <c r="O351" s="5">
        <v>39571</v>
      </c>
      <c r="P351" s="6" t="e">
        <v>#VALUE!</v>
      </c>
      <c r="Q351" s="1"/>
      <c r="R351" s="7" t="e">
        <f ca="1">_xll.SNL.Clients.Office.Excel.Functions.SPG(A351, "SP_TOTAL_DEBT", "LTM")</f>
        <v>#NAME?</v>
      </c>
      <c r="S351" s="8" t="e">
        <f ca="1">_xll.SNL.Clients.Office.Excel.Functions.SPG(A351, "SP_DEBT_TO_EQUITY", "LTM")</f>
        <v>#NAME?</v>
      </c>
      <c r="U351" s="9" t="e">
        <f t="shared" ca="1" si="5"/>
        <v>#VALUE!</v>
      </c>
      <c r="Y351" s="1"/>
      <c r="Z351" s="1"/>
      <c r="AA351" s="10"/>
      <c r="AB351" s="1" t="s">
        <v>750</v>
      </c>
      <c r="AC351" s="1" t="s">
        <v>65</v>
      </c>
      <c r="AD351" s="10">
        <v>2644.7048955599998</v>
      </c>
      <c r="AE351" s="1" t="s">
        <v>25</v>
      </c>
    </row>
    <row r="352" spans="1:31" x14ac:dyDescent="0.2">
      <c r="A352" s="1" t="s">
        <v>751</v>
      </c>
      <c r="B352" s="2">
        <v>-0.89300000000000002</v>
      </c>
      <c r="C352" s="3" t="s">
        <v>1408</v>
      </c>
      <c r="D352" s="2">
        <v>140.29</v>
      </c>
      <c r="E352" s="2" t="s">
        <v>1408</v>
      </c>
      <c r="F352" s="4">
        <v>-0.14000000000000001</v>
      </c>
      <c r="G352" s="4" t="s">
        <v>1408</v>
      </c>
      <c r="H352" s="2">
        <v>1.05</v>
      </c>
      <c r="I352" s="4">
        <v>0.36899999999999999</v>
      </c>
      <c r="J352" s="4" t="s">
        <v>1408</v>
      </c>
      <c r="K352" s="4">
        <v>0.58293899999999998</v>
      </c>
      <c r="L352" s="4">
        <v>19.640732</v>
      </c>
      <c r="N352" s="5">
        <v>2090739.875</v>
      </c>
      <c r="O352" s="5">
        <v>-1026064</v>
      </c>
      <c r="P352" s="6">
        <v>-2.037631059076237</v>
      </c>
      <c r="Q352" s="1"/>
      <c r="R352" s="7" t="e">
        <f ca="1">_xll.SNL.Clients.Office.Excel.Functions.SPG(A352, "SP_TOTAL_DEBT", "LTM")</f>
        <v>#NAME?</v>
      </c>
      <c r="S352" s="8" t="e">
        <f ca="1">_xll.SNL.Clients.Office.Excel.Functions.SPG(A352, "SP_DEBT_TO_EQUITY", "LTM")</f>
        <v>#NAME?</v>
      </c>
      <c r="U352" s="9" t="e">
        <f t="shared" ca="1" si="5"/>
        <v>#NAME?</v>
      </c>
      <c r="Y352" s="1"/>
      <c r="Z352" s="1"/>
      <c r="AA352" s="10"/>
      <c r="AB352" s="1" t="s">
        <v>752</v>
      </c>
      <c r="AC352" s="1" t="s">
        <v>74</v>
      </c>
      <c r="AD352" s="10">
        <v>5893.6455272439898</v>
      </c>
      <c r="AE352" s="1" t="s">
        <v>42</v>
      </c>
    </row>
    <row r="353" spans="1:31" x14ac:dyDescent="0.2">
      <c r="A353" s="1" t="s">
        <v>753</v>
      </c>
      <c r="B353" s="2" t="s">
        <v>1408</v>
      </c>
      <c r="C353" s="3">
        <v>-61.855670103092798</v>
      </c>
      <c r="D353" s="2">
        <v>-18.536000000000001</v>
      </c>
      <c r="E353" s="2">
        <v>28.540541000000001</v>
      </c>
      <c r="F353" s="4">
        <v>0.29199999999999998</v>
      </c>
      <c r="G353" s="4">
        <v>2.67533984653863</v>
      </c>
      <c r="H353" s="2" t="s">
        <v>1408</v>
      </c>
      <c r="I353" s="4" t="s">
        <v>1408</v>
      </c>
      <c r="J353" s="4">
        <v>14.702049520198999</v>
      </c>
      <c r="K353" s="4">
        <v>0.761795</v>
      </c>
      <c r="L353" s="4" t="s">
        <v>1408</v>
      </c>
      <c r="N353" s="5" t="s">
        <v>1408</v>
      </c>
      <c r="O353" s="5">
        <v>16077</v>
      </c>
      <c r="P353" s="6" t="e">
        <v>#VALUE!</v>
      </c>
      <c r="Q353" s="1"/>
      <c r="R353" s="7" t="e">
        <f ca="1">_xll.SNL.Clients.Office.Excel.Functions.SPG(A353, "SP_TOTAL_DEBT", "LTM")</f>
        <v>#NAME?</v>
      </c>
      <c r="S353" s="8" t="e">
        <f ca="1">_xll.SNL.Clients.Office.Excel.Functions.SPG(A353, "SP_DEBT_TO_EQUITY", "LTM")</f>
        <v>#NAME?</v>
      </c>
      <c r="U353" s="9" t="e">
        <f t="shared" ca="1" si="5"/>
        <v>#VALUE!</v>
      </c>
      <c r="Y353" s="1"/>
      <c r="Z353" s="1"/>
      <c r="AA353" s="10"/>
      <c r="AB353" s="1" t="s">
        <v>754</v>
      </c>
      <c r="AC353" s="1" t="s">
        <v>34</v>
      </c>
      <c r="AD353" s="10">
        <v>467.36366040000001</v>
      </c>
      <c r="AE353" s="1" t="s">
        <v>25</v>
      </c>
    </row>
    <row r="354" spans="1:31" x14ac:dyDescent="0.2">
      <c r="A354" s="1" t="s">
        <v>755</v>
      </c>
      <c r="B354" s="2" t="s">
        <v>1408</v>
      </c>
      <c r="C354" s="3">
        <v>6.1538461538461497</v>
      </c>
      <c r="D354" s="2">
        <v>24.364000000000001</v>
      </c>
      <c r="E354" s="2">
        <v>9.2415459999999996</v>
      </c>
      <c r="F354" s="4">
        <v>1.407</v>
      </c>
      <c r="G354" s="4">
        <v>14.601444132988</v>
      </c>
      <c r="H354" s="2" t="s">
        <v>1408</v>
      </c>
      <c r="I354" s="4" t="s">
        <v>1408</v>
      </c>
      <c r="J354" s="4">
        <v>42.915048947861997</v>
      </c>
      <c r="K354" s="4">
        <v>1.238669</v>
      </c>
      <c r="L354" s="4" t="s">
        <v>1408</v>
      </c>
      <c r="N354" s="5" t="s">
        <v>1408</v>
      </c>
      <c r="O354" s="5">
        <v>65842</v>
      </c>
      <c r="P354" s="6" t="e">
        <v>#VALUE!</v>
      </c>
      <c r="Q354" s="1"/>
      <c r="R354" s="7" t="e">
        <f ca="1">_xll.SNL.Clients.Office.Excel.Functions.SPG(A354, "SP_TOTAL_DEBT", "LTM")</f>
        <v>#NAME?</v>
      </c>
      <c r="S354" s="8" t="e">
        <f ca="1">_xll.SNL.Clients.Office.Excel.Functions.SPG(A354, "SP_DEBT_TO_EQUITY", "LTM")</f>
        <v>#NAME?</v>
      </c>
      <c r="U354" s="9" t="e">
        <f t="shared" ca="1" si="5"/>
        <v>#VALUE!</v>
      </c>
      <c r="Y354" s="1"/>
      <c r="Z354" s="1"/>
      <c r="AA354" s="10"/>
      <c r="AB354" s="1" t="s">
        <v>756</v>
      </c>
      <c r="AC354" s="1" t="s">
        <v>34</v>
      </c>
      <c r="AD354" s="10">
        <v>617.11777115999996</v>
      </c>
      <c r="AE354" s="1" t="s">
        <v>25</v>
      </c>
    </row>
    <row r="355" spans="1:31" x14ac:dyDescent="0.2">
      <c r="A355" s="1" t="s">
        <v>757</v>
      </c>
      <c r="B355" s="2">
        <v>-8.1379999999999999</v>
      </c>
      <c r="C355" s="3" t="s">
        <v>1409</v>
      </c>
      <c r="D355" s="2">
        <v>21.702999999999999</v>
      </c>
      <c r="E355" s="2">
        <v>20.349170999999998</v>
      </c>
      <c r="F355" s="4">
        <v>2.4729999999999999</v>
      </c>
      <c r="G355" s="4">
        <v>-22.33216140235</v>
      </c>
      <c r="H355" s="2">
        <v>0.86599999999999999</v>
      </c>
      <c r="I355" s="4">
        <v>0.26100000000000001</v>
      </c>
      <c r="J355" s="4" t="s">
        <v>1408</v>
      </c>
      <c r="K355" s="4">
        <v>3.9563459999999999</v>
      </c>
      <c r="L355" s="4">
        <v>10.309612</v>
      </c>
      <c r="N355" s="5">
        <v>49977.75</v>
      </c>
      <c r="O355" s="5">
        <v>50995</v>
      </c>
      <c r="P355" s="6">
        <v>0.98005196587900778</v>
      </c>
      <c r="Q355" s="1"/>
      <c r="R355" s="7" t="e">
        <f ca="1">_xll.SNL.Clients.Office.Excel.Functions.SPG(A355, "SP_TOTAL_DEBT", "LTM")</f>
        <v>#NAME?</v>
      </c>
      <c r="S355" s="8" t="e">
        <f ca="1">_xll.SNL.Clients.Office.Excel.Functions.SPG(A355, "SP_DEBT_TO_EQUITY", "LTM")</f>
        <v>#NAME?</v>
      </c>
      <c r="U355" s="9" t="e">
        <f t="shared" ca="1" si="5"/>
        <v>#NAME?</v>
      </c>
      <c r="Y355" s="1"/>
      <c r="Z355" s="1"/>
      <c r="AA355" s="10"/>
      <c r="AB355" s="1" t="s">
        <v>758</v>
      </c>
      <c r="AC355" s="1" t="s">
        <v>95</v>
      </c>
      <c r="AD355" s="10">
        <v>873.22286960999998</v>
      </c>
      <c r="AE355" s="1" t="s">
        <v>25</v>
      </c>
    </row>
    <row r="356" spans="1:31" x14ac:dyDescent="0.2">
      <c r="A356" s="1" t="s">
        <v>759</v>
      </c>
      <c r="B356" s="2">
        <v>0.81799999999999995</v>
      </c>
      <c r="C356" s="3" t="s">
        <v>1409</v>
      </c>
      <c r="D356" s="2">
        <v>13.904</v>
      </c>
      <c r="E356" s="2">
        <v>224.853801</v>
      </c>
      <c r="F356" s="4">
        <v>2.137</v>
      </c>
      <c r="G356" s="4">
        <v>-1.3985104015983101</v>
      </c>
      <c r="H356" s="2">
        <v>4.93</v>
      </c>
      <c r="I356" s="4">
        <v>0.315</v>
      </c>
      <c r="J356" s="4" t="s">
        <v>1408</v>
      </c>
      <c r="K356" s="4">
        <v>3.3189470000000001</v>
      </c>
      <c r="L356" s="4">
        <v>26.794606999999999</v>
      </c>
      <c r="N356" s="5">
        <v>232348.375</v>
      </c>
      <c r="O356" s="5">
        <v>29139</v>
      </c>
      <c r="P356" s="6">
        <v>7.9737937128933734</v>
      </c>
      <c r="Q356" s="1"/>
      <c r="R356" s="7" t="e">
        <f ca="1">_xll.SNL.Clients.Office.Excel.Functions.SPG(A356, "SP_TOTAL_DEBT", "LTM")</f>
        <v>#NAME?</v>
      </c>
      <c r="S356" s="8" t="e">
        <f ca="1">_xll.SNL.Clients.Office.Excel.Functions.SPG(A356, "SP_DEBT_TO_EQUITY", "LTM")</f>
        <v>#NAME?</v>
      </c>
      <c r="U356" s="9" t="e">
        <f t="shared" ca="1" si="5"/>
        <v>#NAME?</v>
      </c>
      <c r="Y356" s="1"/>
      <c r="Z356" s="1"/>
      <c r="AA356" s="10"/>
      <c r="AB356" s="1" t="s">
        <v>760</v>
      </c>
      <c r="AC356" s="1" t="s">
        <v>74</v>
      </c>
      <c r="AD356" s="10">
        <v>6484.8504635199997</v>
      </c>
      <c r="AE356" s="1" t="s">
        <v>25</v>
      </c>
    </row>
    <row r="357" spans="1:31" x14ac:dyDescent="0.2">
      <c r="A357" s="1" t="s">
        <v>761</v>
      </c>
      <c r="B357" s="2" t="s">
        <v>1408</v>
      </c>
      <c r="C357" s="3">
        <v>-64.926931106471798</v>
      </c>
      <c r="D357" s="2">
        <v>-21.757999999999999</v>
      </c>
      <c r="E357" s="2">
        <v>19.815476</v>
      </c>
      <c r="F357" s="4">
        <v>0.40300000000000002</v>
      </c>
      <c r="G357" s="4">
        <v>4.3775278141719696</v>
      </c>
      <c r="H357" s="2" t="s">
        <v>1408</v>
      </c>
      <c r="I357" s="4" t="s">
        <v>1408</v>
      </c>
      <c r="J357" s="4">
        <v>35.101509125427903</v>
      </c>
      <c r="K357" s="4">
        <v>0.77978999999999998</v>
      </c>
      <c r="L357" s="4" t="s">
        <v>1408</v>
      </c>
      <c r="N357" s="5" t="s">
        <v>1408</v>
      </c>
      <c r="O357" s="5">
        <v>79920</v>
      </c>
      <c r="P357" s="6" t="e">
        <v>#VALUE!</v>
      </c>
      <c r="Q357" s="1"/>
      <c r="R357" s="7" t="e">
        <f ca="1">_xll.SNL.Clients.Office.Excel.Functions.SPG(A357, "SP_TOTAL_DEBT", "LTM")</f>
        <v>#NAME?</v>
      </c>
      <c r="S357" s="8" t="e">
        <f ca="1">_xll.SNL.Clients.Office.Excel.Functions.SPG(A357, "SP_DEBT_TO_EQUITY", "LTM")</f>
        <v>#NAME?</v>
      </c>
      <c r="U357" s="9" t="e">
        <f t="shared" ca="1" si="5"/>
        <v>#VALUE!</v>
      </c>
      <c r="Y357" s="1"/>
      <c r="Z357" s="1"/>
      <c r="AA357" s="10"/>
      <c r="AB357" s="1" t="s">
        <v>762</v>
      </c>
      <c r="AC357" s="1" t="s">
        <v>34</v>
      </c>
      <c r="AD357" s="10">
        <v>1514.14364376</v>
      </c>
      <c r="AE357" s="1" t="s">
        <v>25</v>
      </c>
    </row>
    <row r="358" spans="1:31" x14ac:dyDescent="0.2">
      <c r="A358" s="1" t="s">
        <v>763</v>
      </c>
      <c r="B358" s="2">
        <v>5.657</v>
      </c>
      <c r="C358" s="3">
        <v>-46.979865771812101</v>
      </c>
      <c r="D358" s="2">
        <v>14.489000000000001</v>
      </c>
      <c r="E358" s="2">
        <v>8.6045339999999992</v>
      </c>
      <c r="F358" s="4">
        <v>7.101</v>
      </c>
      <c r="G358" s="4">
        <v>7.5912048335452402</v>
      </c>
      <c r="H358" s="2">
        <v>0.45800000000000002</v>
      </c>
      <c r="I358" s="4">
        <v>0.14000000000000001</v>
      </c>
      <c r="J358" s="4" t="s">
        <v>1408</v>
      </c>
      <c r="K358" s="4">
        <v>1.543885</v>
      </c>
      <c r="L358" s="4">
        <v>11.570594</v>
      </c>
      <c r="N358" s="5">
        <v>243062.625</v>
      </c>
      <c r="O358" s="5">
        <v>279839</v>
      </c>
      <c r="P358" s="6">
        <v>0.86858023720782307</v>
      </c>
      <c r="Q358" s="1"/>
      <c r="R358" s="7" t="e">
        <f ca="1">_xll.SNL.Clients.Office.Excel.Functions.SPG(A358, "SP_TOTAL_DEBT", "LTM")</f>
        <v>#NAME?</v>
      </c>
      <c r="S358" s="8" t="e">
        <f ca="1">_xll.SNL.Clients.Office.Excel.Functions.SPG(A358, "SP_DEBT_TO_EQUITY", "LTM")</f>
        <v>#NAME?</v>
      </c>
      <c r="U358" s="9" t="e">
        <f t="shared" ca="1" si="5"/>
        <v>#NAME?</v>
      </c>
      <c r="Y358" s="1"/>
      <c r="Z358" s="1"/>
      <c r="AA358" s="10"/>
      <c r="AB358" s="1" t="s">
        <v>764</v>
      </c>
      <c r="AC358" s="1" t="s">
        <v>363</v>
      </c>
      <c r="AD358" s="10">
        <v>2584.2957229799999</v>
      </c>
      <c r="AE358" s="1" t="s">
        <v>25</v>
      </c>
    </row>
    <row r="359" spans="1:31" x14ac:dyDescent="0.2">
      <c r="A359" s="1" t="s">
        <v>765</v>
      </c>
      <c r="B359" s="2" t="s">
        <v>1408</v>
      </c>
      <c r="C359" s="3">
        <v>-3.6697247706421998</v>
      </c>
      <c r="D359" s="2">
        <v>1.1879999999999999</v>
      </c>
      <c r="E359" s="2">
        <v>7.9142859999999997</v>
      </c>
      <c r="F359" s="4">
        <v>1.2450000000000001</v>
      </c>
      <c r="G359" s="4">
        <v>9.8770938418175191</v>
      </c>
      <c r="H359" s="2" t="s">
        <v>1408</v>
      </c>
      <c r="I359" s="4" t="s">
        <v>1408</v>
      </c>
      <c r="J359" s="4">
        <v>47.004377996533002</v>
      </c>
      <c r="K359" s="4">
        <v>0.75511099999999998</v>
      </c>
      <c r="L359" s="4" t="s">
        <v>1408</v>
      </c>
      <c r="N359" s="5" t="s">
        <v>1408</v>
      </c>
      <c r="O359" s="5">
        <v>64443</v>
      </c>
      <c r="P359" s="6" t="e">
        <v>#VALUE!</v>
      </c>
      <c r="Q359" s="1"/>
      <c r="R359" s="7" t="e">
        <f ca="1">_xll.SNL.Clients.Office.Excel.Functions.SPG(A359, "SP_TOTAL_DEBT", "LTM")</f>
        <v>#NAME?</v>
      </c>
      <c r="S359" s="8" t="e">
        <f ca="1">_xll.SNL.Clients.Office.Excel.Functions.SPG(A359, "SP_DEBT_TO_EQUITY", "LTM")</f>
        <v>#NAME?</v>
      </c>
      <c r="U359" s="9" t="e">
        <f t="shared" ca="1" si="5"/>
        <v>#VALUE!</v>
      </c>
      <c r="Y359" s="1"/>
      <c r="Z359" s="1"/>
      <c r="AA359" s="10"/>
      <c r="AB359" s="1" t="s">
        <v>766</v>
      </c>
      <c r="AC359" s="1" t="s">
        <v>34</v>
      </c>
      <c r="AD359" s="10">
        <v>543.59536315000003</v>
      </c>
      <c r="AE359" s="1" t="s">
        <v>25</v>
      </c>
    </row>
    <row r="360" spans="1:31" x14ac:dyDescent="0.2">
      <c r="A360" s="1" t="s">
        <v>767</v>
      </c>
      <c r="B360" s="2" t="s">
        <v>1408</v>
      </c>
      <c r="C360" s="3">
        <v>-24.2424242424242</v>
      </c>
      <c r="D360" s="2">
        <v>-3.9550000000000001</v>
      </c>
      <c r="E360" s="2">
        <v>10.645714</v>
      </c>
      <c r="F360" s="4">
        <v>0.873</v>
      </c>
      <c r="G360" s="4">
        <v>7.5491233946423302</v>
      </c>
      <c r="H360" s="2" t="s">
        <v>1408</v>
      </c>
      <c r="I360" s="4" t="s">
        <v>1408</v>
      </c>
      <c r="J360" s="4">
        <v>32.672678351238403</v>
      </c>
      <c r="K360" s="4">
        <v>0.76214999999999999</v>
      </c>
      <c r="L360" s="4" t="s">
        <v>1408</v>
      </c>
      <c r="N360" s="5" t="s">
        <v>1408</v>
      </c>
      <c r="O360" s="5">
        <v>61755</v>
      </c>
      <c r="P360" s="6" t="e">
        <v>#VALUE!</v>
      </c>
      <c r="Q360" s="1"/>
      <c r="R360" s="7" t="e">
        <f ca="1">_xll.SNL.Clients.Office.Excel.Functions.SPG(A360, "SP_TOTAL_DEBT", "LTM")</f>
        <v>#NAME?</v>
      </c>
      <c r="S360" s="8" t="e">
        <f ca="1">_xll.SNL.Clients.Office.Excel.Functions.SPG(A360, "SP_DEBT_TO_EQUITY", "LTM")</f>
        <v>#NAME?</v>
      </c>
      <c r="U360" s="9" t="e">
        <f t="shared" ca="1" si="5"/>
        <v>#VALUE!</v>
      </c>
      <c r="Y360" s="1"/>
      <c r="Z360" s="1"/>
      <c r="AA360" s="10"/>
      <c r="AB360" s="1" t="s">
        <v>768</v>
      </c>
      <c r="AC360" s="1" t="s">
        <v>34</v>
      </c>
      <c r="AD360" s="10">
        <v>703.36059494999995</v>
      </c>
      <c r="AE360" s="1" t="s">
        <v>25</v>
      </c>
    </row>
    <row r="361" spans="1:31" x14ac:dyDescent="0.2">
      <c r="A361" s="1" t="s">
        <v>769</v>
      </c>
      <c r="B361" s="2" t="s">
        <v>1408</v>
      </c>
      <c r="C361" s="3">
        <v>-0.193798449612399</v>
      </c>
      <c r="D361" s="2">
        <v>-4.8739999999999997</v>
      </c>
      <c r="E361" s="2">
        <v>13.886407</v>
      </c>
      <c r="F361" s="4">
        <v>1.05</v>
      </c>
      <c r="G361" s="4">
        <v>11.3222086285221</v>
      </c>
      <c r="H361" s="2" t="s">
        <v>1408</v>
      </c>
      <c r="I361" s="4" t="s">
        <v>1408</v>
      </c>
      <c r="J361" s="4">
        <v>37.453976309003401</v>
      </c>
      <c r="K361" s="4">
        <v>1.340589</v>
      </c>
      <c r="L361" s="4" t="s">
        <v>1408</v>
      </c>
      <c r="N361" s="5" t="s">
        <v>1408</v>
      </c>
      <c r="O361" s="5">
        <v>43306</v>
      </c>
      <c r="P361" s="6" t="e">
        <v>#VALUE!</v>
      </c>
      <c r="Q361" s="1"/>
      <c r="R361" s="7" t="e">
        <f ca="1">_xll.SNL.Clients.Office.Excel.Functions.SPG(A361, "SP_TOTAL_DEBT", "LTM")</f>
        <v>#NAME?</v>
      </c>
      <c r="S361" s="8" t="e">
        <f ca="1">_xll.SNL.Clients.Office.Excel.Functions.SPG(A361, "SP_DEBT_TO_EQUITY", "LTM")</f>
        <v>#NAME?</v>
      </c>
      <c r="U361" s="9" t="e">
        <f t="shared" ca="1" si="5"/>
        <v>#VALUE!</v>
      </c>
      <c r="Y361" s="1"/>
      <c r="Z361" s="1"/>
      <c r="AA361" s="10"/>
      <c r="AB361" s="1" t="s">
        <v>770</v>
      </c>
      <c r="AC361" s="1" t="s">
        <v>34</v>
      </c>
      <c r="AD361" s="10">
        <v>607.87559411999996</v>
      </c>
      <c r="AE361" s="1" t="s">
        <v>25</v>
      </c>
    </row>
    <row r="362" spans="1:31" x14ac:dyDescent="0.2">
      <c r="A362" s="1" t="s">
        <v>771</v>
      </c>
      <c r="B362" s="2" t="s">
        <v>1408</v>
      </c>
      <c r="C362" s="3">
        <v>5.6249999999999902</v>
      </c>
      <c r="D362" s="2">
        <v>-8.2479999999999993</v>
      </c>
      <c r="E362" s="2">
        <v>18.147929000000001</v>
      </c>
      <c r="F362" s="4" t="s">
        <v>1408</v>
      </c>
      <c r="G362" s="4">
        <v>5.6457332193776901</v>
      </c>
      <c r="H362" s="2" t="s">
        <v>1408</v>
      </c>
      <c r="I362" s="4" t="s">
        <v>1408</v>
      </c>
      <c r="J362" s="4" t="s">
        <v>1408</v>
      </c>
      <c r="K362" s="4">
        <v>0.96114100000000002</v>
      </c>
      <c r="L362" s="4" t="s">
        <v>1408</v>
      </c>
      <c r="N362" s="5" t="s">
        <v>1408</v>
      </c>
      <c r="O362" s="5">
        <v>117979</v>
      </c>
      <c r="P362" s="6" t="e">
        <v>#VALUE!</v>
      </c>
      <c r="Q362" s="1"/>
      <c r="R362" s="7" t="e">
        <f ca="1">_xll.SNL.Clients.Office.Excel.Functions.SPG(A362, "SP_TOTAL_DEBT", "LTM")</f>
        <v>#NAME?</v>
      </c>
      <c r="S362" s="8" t="e">
        <f ca="1">_xll.SNL.Clients.Office.Excel.Functions.SPG(A362, "SP_DEBT_TO_EQUITY", "LTM")</f>
        <v>#NAME?</v>
      </c>
      <c r="U362" s="9" t="e">
        <f t="shared" ca="1" si="5"/>
        <v>#VALUE!</v>
      </c>
      <c r="Y362" s="1"/>
      <c r="Z362" s="1"/>
      <c r="AA362" s="10"/>
      <c r="AB362" s="1" t="s">
        <v>772</v>
      </c>
      <c r="AC362" s="1" t="s">
        <v>34</v>
      </c>
      <c r="AD362" s="10">
        <v>2051.66797</v>
      </c>
      <c r="AE362" s="1" t="s">
        <v>25</v>
      </c>
    </row>
    <row r="363" spans="1:31" x14ac:dyDescent="0.2">
      <c r="A363" s="1" t="s">
        <v>773</v>
      </c>
      <c r="B363" s="2" t="s">
        <v>1408</v>
      </c>
      <c r="C363" s="3">
        <v>-29.460093896713602</v>
      </c>
      <c r="D363" s="2">
        <v>-21.530999999999999</v>
      </c>
      <c r="E363" s="2">
        <v>14.002496000000001</v>
      </c>
      <c r="F363" s="4">
        <v>0.60799999999999998</v>
      </c>
      <c r="G363" s="4">
        <v>6.5741287802299997</v>
      </c>
      <c r="H363" s="2" t="s">
        <v>1408</v>
      </c>
      <c r="I363" s="4" t="s">
        <v>1408</v>
      </c>
      <c r="J363" s="4">
        <v>40.553284494272901</v>
      </c>
      <c r="K363" s="4">
        <v>0.892872</v>
      </c>
      <c r="L363" s="4" t="s">
        <v>1408</v>
      </c>
      <c r="N363" s="5" t="s">
        <v>1408</v>
      </c>
      <c r="O363" s="5">
        <v>26371</v>
      </c>
      <c r="P363" s="6" t="e">
        <v>#VALUE!</v>
      </c>
      <c r="Q363" s="1"/>
      <c r="R363" s="7" t="e">
        <f ca="1">_xll.SNL.Clients.Office.Excel.Functions.SPG(A363, "SP_TOTAL_DEBT", "LTM")</f>
        <v>#NAME?</v>
      </c>
      <c r="S363" s="8" t="e">
        <f ca="1">_xll.SNL.Clients.Office.Excel.Functions.SPG(A363, "SP_DEBT_TO_EQUITY", "LTM")</f>
        <v>#NAME?</v>
      </c>
      <c r="U363" s="9" t="e">
        <f t="shared" ca="1" si="5"/>
        <v>#VALUE!</v>
      </c>
      <c r="Y363" s="1"/>
      <c r="Z363" s="1"/>
      <c r="AA363" s="10"/>
      <c r="AB363" s="1" t="s">
        <v>774</v>
      </c>
      <c r="AC363" s="1" t="s">
        <v>34</v>
      </c>
      <c r="AD363" s="10">
        <v>399.741264</v>
      </c>
      <c r="AE363" s="1" t="s">
        <v>25</v>
      </c>
    </row>
    <row r="364" spans="1:31" x14ac:dyDescent="0.2">
      <c r="A364" s="1" t="s">
        <v>775</v>
      </c>
      <c r="B364" s="2">
        <v>1.1850000000000001</v>
      </c>
      <c r="C364" s="3">
        <v>32.929601555475898</v>
      </c>
      <c r="D364" s="2">
        <v>-7.7850000000000001</v>
      </c>
      <c r="E364" s="2">
        <v>17.912134999999999</v>
      </c>
      <c r="F364" s="4">
        <v>1.8340000000000001</v>
      </c>
      <c r="G364" s="4">
        <v>9.8138878688904807</v>
      </c>
      <c r="H364" s="2">
        <v>10.923</v>
      </c>
      <c r="I364" s="4">
        <v>0.245</v>
      </c>
      <c r="J364" s="4" t="s">
        <v>1408</v>
      </c>
      <c r="K364" s="4">
        <v>1.6041700000000001</v>
      </c>
      <c r="L364" s="4">
        <v>10.825688</v>
      </c>
      <c r="N364" s="5">
        <v>-9414287.5</v>
      </c>
      <c r="O364" s="5">
        <v>378900</v>
      </c>
      <c r="P364" s="6">
        <v>-24.84636447611507</v>
      </c>
      <c r="Q364" s="1"/>
      <c r="R364" s="7" t="e">
        <f ca="1">_xll.SNL.Clients.Office.Excel.Functions.SPG(A364, "SP_TOTAL_DEBT", "LTM")</f>
        <v>#NAME?</v>
      </c>
      <c r="S364" s="8" t="e">
        <f ca="1">_xll.SNL.Clients.Office.Excel.Functions.SPG(A364, "SP_DEBT_TO_EQUITY", "LTM")</f>
        <v>#NAME?</v>
      </c>
      <c r="U364" s="9" t="e">
        <f t="shared" ca="1" si="5"/>
        <v>#NAME?</v>
      </c>
      <c r="Y364" s="1"/>
      <c r="Z364" s="1"/>
      <c r="AA364" s="10"/>
      <c r="AB364" s="1" t="s">
        <v>776</v>
      </c>
      <c r="AC364" s="1" t="s">
        <v>95</v>
      </c>
      <c r="AD364" s="10">
        <v>4529.3243478316099</v>
      </c>
      <c r="AE364" s="1" t="s">
        <v>25</v>
      </c>
    </row>
    <row r="365" spans="1:31" x14ac:dyDescent="0.2">
      <c r="A365" s="1" t="s">
        <v>777</v>
      </c>
      <c r="B365" s="2" t="s">
        <v>1408</v>
      </c>
      <c r="C365" s="3">
        <v>19.951923076923102</v>
      </c>
      <c r="D365" s="2">
        <v>-0.95599999999999996</v>
      </c>
      <c r="E365" s="2">
        <v>7.0937010000000003</v>
      </c>
      <c r="F365" s="4" t="s">
        <v>1408</v>
      </c>
      <c r="G365" s="4">
        <v>11.5877007384136</v>
      </c>
      <c r="H365" s="2" t="s">
        <v>1408</v>
      </c>
      <c r="I365" s="4" t="s">
        <v>1408</v>
      </c>
      <c r="J365" s="4">
        <v>37.1832689301201</v>
      </c>
      <c r="K365" s="4">
        <v>0.86262700000000003</v>
      </c>
      <c r="L365" s="4" t="s">
        <v>1408</v>
      </c>
      <c r="N365" s="5" t="s">
        <v>1408</v>
      </c>
      <c r="O365" s="5">
        <v>40240</v>
      </c>
      <c r="P365" s="6" t="e">
        <v>#VALUE!</v>
      </c>
      <c r="Q365" s="1"/>
      <c r="R365" s="7" t="e">
        <f ca="1">_xll.SNL.Clients.Office.Excel.Functions.SPG(A365, "SP_TOTAL_DEBT", "LTM")</f>
        <v>#NAME?</v>
      </c>
      <c r="S365" s="8" t="e">
        <f ca="1">_xll.SNL.Clients.Office.Excel.Functions.SPG(A365, "SP_DEBT_TO_EQUITY", "LTM")</f>
        <v>#NAME?</v>
      </c>
      <c r="U365" s="9" t="e">
        <f t="shared" ca="1" si="5"/>
        <v>#VALUE!</v>
      </c>
      <c r="Y365" s="1"/>
      <c r="Z365" s="1"/>
      <c r="AA365" s="10"/>
      <c r="AB365" s="1" t="s">
        <v>778</v>
      </c>
      <c r="AC365" s="1" t="s">
        <v>34</v>
      </c>
      <c r="AD365" s="10">
        <v>324.86274942</v>
      </c>
      <c r="AE365" s="1" t="s">
        <v>25</v>
      </c>
    </row>
    <row r="366" spans="1:31" x14ac:dyDescent="0.2">
      <c r="A366" s="1" t="s">
        <v>779</v>
      </c>
      <c r="B366" s="2" t="s">
        <v>1408</v>
      </c>
      <c r="C366" s="3">
        <v>23.566878980891701</v>
      </c>
      <c r="D366" s="2">
        <v>13.163</v>
      </c>
      <c r="E366" s="2">
        <v>11.887570999999999</v>
      </c>
      <c r="F366" s="4">
        <v>1.726</v>
      </c>
      <c r="G366" s="4">
        <v>10.820615206675299</v>
      </c>
      <c r="H366" s="2" t="s">
        <v>1408</v>
      </c>
      <c r="I366" s="4" t="s">
        <v>1408</v>
      </c>
      <c r="J366" s="4">
        <v>52.3539625988289</v>
      </c>
      <c r="K366" s="4">
        <v>1.225282</v>
      </c>
      <c r="L366" s="4" t="s">
        <v>1408</v>
      </c>
      <c r="N366" s="5" t="s">
        <v>1408</v>
      </c>
      <c r="O366" s="5">
        <v>392929</v>
      </c>
      <c r="P366" s="6" t="e">
        <v>#VALUE!</v>
      </c>
      <c r="Q366" s="1"/>
      <c r="R366" s="7" t="e">
        <f ca="1">_xll.SNL.Clients.Office.Excel.Functions.SPG(A366, "SP_TOTAL_DEBT", "LTM")</f>
        <v>#NAME?</v>
      </c>
      <c r="S366" s="8" t="e">
        <f ca="1">_xll.SNL.Clients.Office.Excel.Functions.SPG(A366, "SP_DEBT_TO_EQUITY", "LTM")</f>
        <v>#NAME?</v>
      </c>
      <c r="U366" s="9" t="e">
        <f t="shared" ca="1" si="5"/>
        <v>#VALUE!</v>
      </c>
      <c r="Y366" s="1"/>
      <c r="Z366" s="1"/>
      <c r="AA366" s="10"/>
      <c r="AB366" s="1" t="s">
        <v>780</v>
      </c>
      <c r="AC366" s="1" t="s">
        <v>34</v>
      </c>
      <c r="AD366" s="10">
        <v>4723.76944</v>
      </c>
      <c r="AE366" s="1" t="s">
        <v>25</v>
      </c>
    </row>
    <row r="367" spans="1:31" x14ac:dyDescent="0.2">
      <c r="A367" s="1" t="s">
        <v>781</v>
      </c>
      <c r="B367" s="2" t="s">
        <v>1408</v>
      </c>
      <c r="C367" s="3">
        <v>25.5605381165919</v>
      </c>
      <c r="D367" s="2">
        <v>15.018000000000001</v>
      </c>
      <c r="E367" s="2">
        <v>8.6820930000000001</v>
      </c>
      <c r="F367" s="4">
        <v>1.2030000000000001</v>
      </c>
      <c r="G367" s="4">
        <v>10.4309026364899</v>
      </c>
      <c r="H367" s="2" t="s">
        <v>1408</v>
      </c>
      <c r="I367" s="4" t="s">
        <v>1408</v>
      </c>
      <c r="J367" s="4">
        <v>32.433239830276797</v>
      </c>
      <c r="K367" s="4">
        <v>0.89291299999999996</v>
      </c>
      <c r="L367" s="4" t="s">
        <v>1408</v>
      </c>
      <c r="N367" s="5" t="s">
        <v>1408</v>
      </c>
      <c r="O367" s="5">
        <v>50044</v>
      </c>
      <c r="P367" s="6" t="e">
        <v>#VALUE!</v>
      </c>
      <c r="Q367" s="1"/>
      <c r="R367" s="7" t="e">
        <f ca="1">_xll.SNL.Clients.Office.Excel.Functions.SPG(A367, "SP_TOTAL_DEBT", "LTM")</f>
        <v>#NAME?</v>
      </c>
      <c r="S367" s="8" t="e">
        <f ca="1">_xll.SNL.Clients.Office.Excel.Functions.SPG(A367, "SP_DEBT_TO_EQUITY", "LTM")</f>
        <v>#NAME?</v>
      </c>
      <c r="U367" s="9" t="e">
        <f t="shared" ca="1" si="5"/>
        <v>#VALUE!</v>
      </c>
      <c r="Y367" s="1"/>
      <c r="Z367" s="1"/>
      <c r="AA367" s="10"/>
      <c r="AB367" s="1" t="s">
        <v>782</v>
      </c>
      <c r="AC367" s="1" t="s">
        <v>34</v>
      </c>
      <c r="AD367" s="10">
        <v>468.09010919999997</v>
      </c>
      <c r="AE367" s="1" t="s">
        <v>25</v>
      </c>
    </row>
    <row r="368" spans="1:31" x14ac:dyDescent="0.2">
      <c r="A368" s="1" t="s">
        <v>783</v>
      </c>
      <c r="B368" s="2" t="s">
        <v>1408</v>
      </c>
      <c r="C368" s="3">
        <v>-38.674033149171301</v>
      </c>
      <c r="D368" s="2">
        <v>-12.557</v>
      </c>
      <c r="E368" s="2">
        <v>9.684685</v>
      </c>
      <c r="F368" s="4">
        <v>0.69799999999999995</v>
      </c>
      <c r="G368" s="4">
        <v>6.4837400838642596</v>
      </c>
      <c r="H368" s="2" t="s">
        <v>1408</v>
      </c>
      <c r="I368" s="4" t="s">
        <v>1408</v>
      </c>
      <c r="J368" s="4" t="s">
        <v>1408</v>
      </c>
      <c r="K368" s="4">
        <v>0.60878900000000002</v>
      </c>
      <c r="L368" s="4" t="s">
        <v>1408</v>
      </c>
      <c r="N368" s="5" t="s">
        <v>1408</v>
      </c>
      <c r="O368" s="5">
        <v>133673</v>
      </c>
      <c r="P368" s="6" t="e">
        <v>#VALUE!</v>
      </c>
      <c r="Q368" s="1"/>
      <c r="R368" s="7" t="e">
        <f ca="1">_xll.SNL.Clients.Office.Excel.Functions.SPG(A368, "SP_TOTAL_DEBT", "LTM")</f>
        <v>#NAME?</v>
      </c>
      <c r="S368" s="8" t="e">
        <f ca="1">_xll.SNL.Clients.Office.Excel.Functions.SPG(A368, "SP_DEBT_TO_EQUITY", "LTM")</f>
        <v>#NAME?</v>
      </c>
      <c r="U368" s="9" t="e">
        <f t="shared" ca="1" si="5"/>
        <v>#VALUE!</v>
      </c>
      <c r="Y368" s="1"/>
      <c r="Z368" s="1"/>
      <c r="AA368" s="10"/>
      <c r="AB368" s="1" t="s">
        <v>784</v>
      </c>
      <c r="AC368" s="1" t="s">
        <v>34</v>
      </c>
      <c r="AD368" s="10">
        <v>1331.00478888</v>
      </c>
      <c r="AE368" s="1" t="s">
        <v>25</v>
      </c>
    </row>
    <row r="369" spans="1:31" x14ac:dyDescent="0.2">
      <c r="A369" s="1" t="s">
        <v>785</v>
      </c>
      <c r="B369" s="2">
        <v>0.32200000000000001</v>
      </c>
      <c r="C369" s="3">
        <v>-88.366336633663394</v>
      </c>
      <c r="D369" s="2">
        <v>3.97</v>
      </c>
      <c r="E369" s="2" t="s">
        <v>1409</v>
      </c>
      <c r="F369" s="4">
        <v>-7.6999999999999999E-2</v>
      </c>
      <c r="G369" s="4">
        <v>1.60335246424342</v>
      </c>
      <c r="H369" s="2">
        <v>3.5150000000000001</v>
      </c>
      <c r="I369" s="4">
        <v>0.108</v>
      </c>
      <c r="J369" s="4" t="s">
        <v>1408</v>
      </c>
      <c r="K369" s="4">
        <v>1.382404</v>
      </c>
      <c r="L369" s="4">
        <v>130.193839</v>
      </c>
      <c r="N369" s="5">
        <v>74150</v>
      </c>
      <c r="O369" s="5">
        <v>-11200</v>
      </c>
      <c r="P369" s="6">
        <v>-6.6205357142857144</v>
      </c>
      <c r="Q369" s="1"/>
      <c r="R369" s="7" t="e">
        <f ca="1">_xll.SNL.Clients.Office.Excel.Functions.SPG(A369, "SP_TOTAL_DEBT", "LTM")</f>
        <v>#NAME?</v>
      </c>
      <c r="S369" s="8" t="e">
        <f ca="1">_xll.SNL.Clients.Office.Excel.Functions.SPG(A369, "SP_DEBT_TO_EQUITY", "LTM")</f>
        <v>#NAME?</v>
      </c>
      <c r="U369" s="9" t="e">
        <f t="shared" ca="1" si="5"/>
        <v>#NAME?</v>
      </c>
      <c r="Y369" s="1"/>
      <c r="Z369" s="1"/>
      <c r="AA369" s="10"/>
      <c r="AB369" s="1" t="s">
        <v>786</v>
      </c>
      <c r="AC369" s="1" t="s">
        <v>108</v>
      </c>
      <c r="AD369" s="10">
        <v>1503.9626994600001</v>
      </c>
      <c r="AE369" s="1" t="s">
        <v>25</v>
      </c>
    </row>
    <row r="370" spans="1:31" x14ac:dyDescent="0.2">
      <c r="A370" s="1" t="s">
        <v>787</v>
      </c>
      <c r="B370" s="2" t="s">
        <v>1408</v>
      </c>
      <c r="C370" s="3">
        <v>-70.093457943925202</v>
      </c>
      <c r="D370" s="2">
        <v>-24.542999999999999</v>
      </c>
      <c r="E370" s="2">
        <v>19.054687999999999</v>
      </c>
      <c r="F370" s="4">
        <v>0.35399999999999998</v>
      </c>
      <c r="G370" s="4">
        <v>3.961776874131</v>
      </c>
      <c r="H370" s="2" t="s">
        <v>1408</v>
      </c>
      <c r="I370" s="4" t="s">
        <v>1408</v>
      </c>
      <c r="J370" s="4">
        <v>32.326178148630099</v>
      </c>
      <c r="K370" s="4">
        <v>0.74057200000000001</v>
      </c>
      <c r="L370" s="4" t="s">
        <v>1408</v>
      </c>
      <c r="N370" s="5" t="s">
        <v>1408</v>
      </c>
      <c r="O370" s="5">
        <v>27981</v>
      </c>
      <c r="P370" s="6" t="e">
        <v>#VALUE!</v>
      </c>
      <c r="Q370" s="1"/>
      <c r="R370" s="7" t="e">
        <f ca="1">_xll.SNL.Clients.Office.Excel.Functions.SPG(A370, "SP_TOTAL_DEBT", "LTM")</f>
        <v>#NAME?</v>
      </c>
      <c r="S370" s="8" t="e">
        <f ca="1">_xll.SNL.Clients.Office.Excel.Functions.SPG(A370, "SP_DEBT_TO_EQUITY", "LTM")</f>
        <v>#NAME?</v>
      </c>
      <c r="U370" s="9" t="e">
        <f t="shared" ca="1" si="5"/>
        <v>#VALUE!</v>
      </c>
      <c r="Y370" s="1"/>
      <c r="Z370" s="1"/>
      <c r="AA370" s="10"/>
      <c r="AB370" s="1" t="s">
        <v>788</v>
      </c>
      <c r="AC370" s="1" t="s">
        <v>34</v>
      </c>
      <c r="AD370" s="10">
        <v>572.27854592999995</v>
      </c>
      <c r="AE370" s="1" t="s">
        <v>25</v>
      </c>
    </row>
    <row r="371" spans="1:31" x14ac:dyDescent="0.2">
      <c r="A371" s="1" t="s">
        <v>789</v>
      </c>
      <c r="B371" s="2" t="s">
        <v>1408</v>
      </c>
      <c r="C371" s="3">
        <v>-41.341653666146698</v>
      </c>
      <c r="D371" s="2">
        <v>-20.28</v>
      </c>
      <c r="E371" s="2">
        <v>31.898278999999999</v>
      </c>
      <c r="F371" s="4">
        <v>9.1959999999999997</v>
      </c>
      <c r="G371" s="4">
        <v>17.138468419987301</v>
      </c>
      <c r="H371" s="2">
        <v>1.278</v>
      </c>
      <c r="I371" s="4">
        <v>0.65300000000000002</v>
      </c>
      <c r="J371" s="4" t="s">
        <v>1408</v>
      </c>
      <c r="K371" s="4">
        <v>4.8528659999999997</v>
      </c>
      <c r="L371" s="4" t="s">
        <v>1408</v>
      </c>
      <c r="N371" s="5" t="s">
        <v>1408</v>
      </c>
      <c r="O371" s="5">
        <v>258884</v>
      </c>
      <c r="P371" s="6" t="e">
        <v>#VALUE!</v>
      </c>
      <c r="Q371" s="1"/>
      <c r="R371" s="7" t="e">
        <f ca="1">_xll.SNL.Clients.Office.Excel.Functions.SPG(A371, "SP_TOTAL_DEBT", "LTM")</f>
        <v>#NAME?</v>
      </c>
      <c r="S371" s="8" t="e">
        <f ca="1">_xll.SNL.Clients.Office.Excel.Functions.SPG(A371, "SP_DEBT_TO_EQUITY", "LTM")</f>
        <v>#NAME?</v>
      </c>
      <c r="U371" s="9" t="e">
        <f t="shared" ca="1" si="5"/>
        <v>#VALUE!</v>
      </c>
      <c r="Y371" s="1"/>
      <c r="Z371" s="1"/>
      <c r="AA371" s="10"/>
      <c r="AB371" s="1" t="s">
        <v>790</v>
      </c>
      <c r="AC371" s="1" t="s">
        <v>174</v>
      </c>
      <c r="AD371" s="10">
        <v>8282.2393658399997</v>
      </c>
      <c r="AE371" s="1" t="s">
        <v>25</v>
      </c>
    </row>
    <row r="372" spans="1:31" x14ac:dyDescent="0.2">
      <c r="A372" s="1" t="s">
        <v>791</v>
      </c>
      <c r="B372" s="2">
        <v>10.215</v>
      </c>
      <c r="C372" s="3">
        <v>-9.4202898550724594</v>
      </c>
      <c r="D372" s="2">
        <v>14.541</v>
      </c>
      <c r="E372" s="2">
        <v>18.317499999999999</v>
      </c>
      <c r="F372" s="4">
        <v>6.3170000000000002</v>
      </c>
      <c r="G372" s="4">
        <v>14.969942597140401</v>
      </c>
      <c r="H372" s="2">
        <v>1.589</v>
      </c>
      <c r="I372" s="4">
        <v>2.3610000000000002</v>
      </c>
      <c r="J372" s="4" t="s">
        <v>1408</v>
      </c>
      <c r="K372" s="4">
        <v>2.7534550000000002</v>
      </c>
      <c r="L372" s="4">
        <v>9.6427219999999991</v>
      </c>
      <c r="N372" s="5">
        <v>1204250</v>
      </c>
      <c r="O372" s="5">
        <v>2484000</v>
      </c>
      <c r="P372" s="6">
        <v>0.48480273752012881</v>
      </c>
      <c r="Q372" s="1"/>
      <c r="R372" s="7" t="e">
        <f ca="1">_xll.SNL.Clients.Office.Excel.Functions.SPG(A372, "SP_TOTAL_DEBT", "LTM")</f>
        <v>#NAME?</v>
      </c>
      <c r="S372" s="8" t="e">
        <f ca="1">_xll.SNL.Clients.Office.Excel.Functions.SPG(A372, "SP_DEBT_TO_EQUITY", "LTM")</f>
        <v>#NAME?</v>
      </c>
      <c r="U372" s="9" t="e">
        <f t="shared" ca="1" si="5"/>
        <v>#NAME?</v>
      </c>
      <c r="Y372" s="1"/>
      <c r="Z372" s="1"/>
      <c r="AA372" s="10"/>
      <c r="AB372" s="1" t="s">
        <v>792</v>
      </c>
      <c r="AC372" s="1" t="s">
        <v>74</v>
      </c>
      <c r="AD372" s="10">
        <v>46208.088613200001</v>
      </c>
      <c r="AE372" s="1" t="s">
        <v>25</v>
      </c>
    </row>
    <row r="373" spans="1:31" x14ac:dyDescent="0.2">
      <c r="A373" s="1" t="s">
        <v>793</v>
      </c>
      <c r="B373" s="2" t="s">
        <v>1408</v>
      </c>
      <c r="C373" s="3">
        <v>-14.482758620689699</v>
      </c>
      <c r="D373" s="2">
        <v>2.9000000000000001E-2</v>
      </c>
      <c r="E373" s="2">
        <v>9.9758060000000004</v>
      </c>
      <c r="F373" s="4">
        <v>1.0589999999999999</v>
      </c>
      <c r="G373" s="4">
        <v>10.5496975860408</v>
      </c>
      <c r="H373" s="2" t="s">
        <v>1408</v>
      </c>
      <c r="I373" s="4" t="s">
        <v>1408</v>
      </c>
      <c r="J373" s="4">
        <v>35.800273597811199</v>
      </c>
      <c r="K373" s="4">
        <v>1.0564519999999999</v>
      </c>
      <c r="L373" s="4" t="s">
        <v>1408</v>
      </c>
      <c r="N373" s="5" t="s">
        <v>1408</v>
      </c>
      <c r="O373" s="5">
        <v>1971000</v>
      </c>
      <c r="P373" s="6" t="e">
        <v>#VALUE!</v>
      </c>
      <c r="Q373" s="1"/>
      <c r="R373" s="7" t="e">
        <f ca="1">_xll.SNL.Clients.Office.Excel.Functions.SPG(A373, "SP_TOTAL_DEBT", "LTM")</f>
        <v>#NAME?</v>
      </c>
      <c r="S373" s="8" t="e">
        <f ca="1">_xll.SNL.Clients.Office.Excel.Functions.SPG(A373, "SP_DEBT_TO_EQUITY", "LTM")</f>
        <v>#NAME?</v>
      </c>
      <c r="U373" s="9" t="e">
        <f t="shared" ca="1" si="5"/>
        <v>#VALUE!</v>
      </c>
      <c r="Y373" s="1"/>
      <c r="Z373" s="1"/>
      <c r="AA373" s="10"/>
      <c r="AB373" s="1" t="s">
        <v>794</v>
      </c>
      <c r="AC373" s="1" t="s">
        <v>34</v>
      </c>
      <c r="AD373" s="10">
        <v>18437.113001689999</v>
      </c>
      <c r="AE373" s="1" t="s">
        <v>25</v>
      </c>
    </row>
    <row r="374" spans="1:31" x14ac:dyDescent="0.2">
      <c r="A374" s="1" t="s">
        <v>795</v>
      </c>
      <c r="B374" s="2">
        <v>3.3119999999999998</v>
      </c>
      <c r="C374" s="3" t="s">
        <v>1409</v>
      </c>
      <c r="D374" s="2">
        <v>16.478000000000002</v>
      </c>
      <c r="E374" s="2" t="s">
        <v>1409</v>
      </c>
      <c r="F374" s="4">
        <v>2.69</v>
      </c>
      <c r="G374" s="4">
        <v>-0.85122568313509095</v>
      </c>
      <c r="H374" s="2">
        <v>0.91500000000000004</v>
      </c>
      <c r="I374" s="4">
        <v>0.44800000000000001</v>
      </c>
      <c r="J374" s="4" t="s">
        <v>1408</v>
      </c>
      <c r="K374" s="4">
        <v>1.847559</v>
      </c>
      <c r="L374" s="4">
        <v>14.176066</v>
      </c>
      <c r="N374" s="5">
        <v>48139.5</v>
      </c>
      <c r="O374" s="5">
        <v>-2652</v>
      </c>
      <c r="P374" s="6">
        <v>-18.152149321266968</v>
      </c>
      <c r="Q374" s="1"/>
      <c r="R374" s="7" t="e">
        <f ca="1">_xll.SNL.Clients.Office.Excel.Functions.SPG(A374, "SP_TOTAL_DEBT", "LTM")</f>
        <v>#NAME?</v>
      </c>
      <c r="S374" s="8" t="e">
        <f ca="1">_xll.SNL.Clients.Office.Excel.Functions.SPG(A374, "SP_DEBT_TO_EQUITY", "LTM")</f>
        <v>#NAME?</v>
      </c>
      <c r="U374" s="9" t="e">
        <f t="shared" ca="1" si="5"/>
        <v>#NAME?</v>
      </c>
      <c r="Y374" s="1"/>
      <c r="Z374" s="1"/>
      <c r="AA374" s="10"/>
      <c r="AB374" s="1" t="s">
        <v>796</v>
      </c>
      <c r="AC374" s="1" t="s">
        <v>57</v>
      </c>
      <c r="AD374" s="10">
        <v>436.24553656000001</v>
      </c>
      <c r="AE374" s="1" t="s">
        <v>25</v>
      </c>
    </row>
    <row r="375" spans="1:31" x14ac:dyDescent="0.2">
      <c r="A375" s="1" t="s">
        <v>797</v>
      </c>
      <c r="B375" s="2">
        <v>6.7279999999999998</v>
      </c>
      <c r="C375" s="3">
        <v>-61.998233766233803</v>
      </c>
      <c r="D375" s="2">
        <v>-44.454999999999998</v>
      </c>
      <c r="E375" s="2">
        <v>7.9108850000000004</v>
      </c>
      <c r="F375" s="4">
        <v>6.6849999999999996</v>
      </c>
      <c r="G375" s="4">
        <v>4.6526205815775699</v>
      </c>
      <c r="H375" s="2">
        <v>2.8860000000000001</v>
      </c>
      <c r="I375" s="4">
        <v>0.19800000000000001</v>
      </c>
      <c r="J375" s="4" t="s">
        <v>1408</v>
      </c>
      <c r="K375" s="4">
        <v>1.406506</v>
      </c>
      <c r="L375" s="4">
        <v>1.196075</v>
      </c>
      <c r="N375" s="5">
        <v>-2987125</v>
      </c>
      <c r="O375" s="5">
        <v>725000</v>
      </c>
      <c r="P375" s="6">
        <v>-4.1201724137931031</v>
      </c>
      <c r="Q375" s="1"/>
      <c r="R375" s="7" t="e">
        <f ca="1">_xll.SNL.Clients.Office.Excel.Functions.SPG(A375, "SP_TOTAL_DEBT", "LTM")</f>
        <v>#NAME?</v>
      </c>
      <c r="S375" s="8" t="e">
        <f ca="1">_xll.SNL.Clients.Office.Excel.Functions.SPG(A375, "SP_DEBT_TO_EQUITY", "LTM")</f>
        <v>#NAME?</v>
      </c>
      <c r="U375" s="9" t="e">
        <f t="shared" ca="1" si="5"/>
        <v>#NAME?</v>
      </c>
      <c r="Y375" s="1"/>
      <c r="Z375" s="1"/>
      <c r="AA375" s="10"/>
      <c r="AB375" s="1" t="s">
        <v>798</v>
      </c>
      <c r="AC375" s="1" t="s">
        <v>60</v>
      </c>
      <c r="AD375" s="10">
        <v>6789.8735120226602</v>
      </c>
      <c r="AE375" s="1" t="s">
        <v>25</v>
      </c>
    </row>
    <row r="376" spans="1:31" x14ac:dyDescent="0.2">
      <c r="A376" s="1" t="s">
        <v>799</v>
      </c>
      <c r="B376" s="2">
        <v>9.6460000000000008</v>
      </c>
      <c r="C376" s="3">
        <v>-11.0294117647059</v>
      </c>
      <c r="D376" s="2">
        <v>-3.246</v>
      </c>
      <c r="E376" s="2">
        <v>9.0529740000000007</v>
      </c>
      <c r="F376" s="4">
        <v>4.7720000000000002</v>
      </c>
      <c r="G376" s="4">
        <v>13.983309467346601</v>
      </c>
      <c r="H376" s="2">
        <v>1.744</v>
      </c>
      <c r="I376" s="4">
        <v>0.215</v>
      </c>
      <c r="J376" s="4" t="s">
        <v>1408</v>
      </c>
      <c r="K376" s="4">
        <v>1.3628499999999999</v>
      </c>
      <c r="L376" s="4">
        <v>7.5431790000000003</v>
      </c>
      <c r="N376" s="5">
        <v>650797.125</v>
      </c>
      <c r="O376" s="5">
        <v>958240</v>
      </c>
      <c r="P376" s="6">
        <v>0.67915879633494736</v>
      </c>
      <c r="Q376" s="1"/>
      <c r="R376" s="7" t="e">
        <f ca="1">_xll.SNL.Clients.Office.Excel.Functions.SPG(A376, "SP_TOTAL_DEBT", "LTM")</f>
        <v>#NAME?</v>
      </c>
      <c r="S376" s="8" t="e">
        <f ca="1">_xll.SNL.Clients.Office.Excel.Functions.SPG(A376, "SP_DEBT_TO_EQUITY", "LTM")</f>
        <v>#NAME?</v>
      </c>
      <c r="U376" s="9" t="e">
        <f t="shared" ca="1" si="5"/>
        <v>#NAME?</v>
      </c>
      <c r="Y376" s="1"/>
      <c r="Z376" s="1"/>
      <c r="AA376" s="10"/>
      <c r="AB376" s="1" t="s">
        <v>800</v>
      </c>
      <c r="AC376" s="1" t="s">
        <v>37</v>
      </c>
      <c r="AD376" s="10">
        <v>6473.5152449453999</v>
      </c>
      <c r="AE376" s="1" t="s">
        <v>25</v>
      </c>
    </row>
    <row r="377" spans="1:31" x14ac:dyDescent="0.2">
      <c r="A377" s="1" t="s">
        <v>801</v>
      </c>
      <c r="B377" s="2" t="s">
        <v>1408</v>
      </c>
      <c r="C377" s="3">
        <v>-4.7451669595782198</v>
      </c>
      <c r="D377" s="2">
        <v>-1.458</v>
      </c>
      <c r="E377" s="2">
        <v>9.9335789999999999</v>
      </c>
      <c r="F377" s="4">
        <v>1.24</v>
      </c>
      <c r="G377" s="4">
        <v>8.3122982462411894</v>
      </c>
      <c r="H377" s="2" t="s">
        <v>1408</v>
      </c>
      <c r="I377" s="4" t="s">
        <v>1408</v>
      </c>
      <c r="J377" s="4" t="s">
        <v>1408</v>
      </c>
      <c r="K377" s="4">
        <v>0.79726300000000005</v>
      </c>
      <c r="L377" s="4" t="s">
        <v>1408</v>
      </c>
      <c r="N377" s="5" t="s">
        <v>1408</v>
      </c>
      <c r="O377" s="5">
        <v>239502</v>
      </c>
      <c r="P377" s="6" t="e">
        <v>#VALUE!</v>
      </c>
      <c r="Q377" s="1"/>
      <c r="R377" s="7" t="e">
        <f ca="1">_xll.SNL.Clients.Office.Excel.Functions.SPG(A377, "SP_TOTAL_DEBT", "LTM")</f>
        <v>#NAME?</v>
      </c>
      <c r="S377" s="8" t="e">
        <f ca="1">_xll.SNL.Clients.Office.Excel.Functions.SPG(A377, "SP_DEBT_TO_EQUITY", "LTM")</f>
        <v>#NAME?</v>
      </c>
      <c r="U377" s="9" t="e">
        <f t="shared" ca="1" si="5"/>
        <v>#VALUE!</v>
      </c>
      <c r="Y377" s="1"/>
      <c r="Z377" s="1"/>
      <c r="AA377" s="10"/>
      <c r="AB377" s="1" t="s">
        <v>802</v>
      </c>
      <c r="AC377" s="1" t="s">
        <v>34</v>
      </c>
      <c r="AD377" s="10">
        <v>2404.75705883</v>
      </c>
      <c r="AE377" s="1" t="s">
        <v>25</v>
      </c>
    </row>
    <row r="378" spans="1:31" x14ac:dyDescent="0.2">
      <c r="A378" s="1" t="s">
        <v>803</v>
      </c>
      <c r="B378" s="2" t="s">
        <v>1408</v>
      </c>
      <c r="C378" s="3">
        <v>-6.0606060606060703</v>
      </c>
      <c r="D378" s="2">
        <v>-2.5880000000000001</v>
      </c>
      <c r="E378" s="2">
        <v>8.5985659999999999</v>
      </c>
      <c r="F378" s="4">
        <v>1.151</v>
      </c>
      <c r="G378" s="4">
        <v>16.035085147450499</v>
      </c>
      <c r="H378" s="2" t="s">
        <v>1408</v>
      </c>
      <c r="I378" s="4" t="s">
        <v>1408</v>
      </c>
      <c r="J378" s="4">
        <v>35.6604110468231</v>
      </c>
      <c r="K378" s="4">
        <v>1.235897</v>
      </c>
      <c r="L378" s="4" t="s">
        <v>1408</v>
      </c>
      <c r="N378" s="5" t="s">
        <v>1408</v>
      </c>
      <c r="O378" s="5">
        <v>59067</v>
      </c>
      <c r="P378" s="6" t="e">
        <v>#VALUE!</v>
      </c>
      <c r="Q378" s="1"/>
      <c r="R378" s="7" t="e">
        <f ca="1">_xll.SNL.Clients.Office.Excel.Functions.SPG(A378, "SP_TOTAL_DEBT", "LTM")</f>
        <v>#NAME?</v>
      </c>
      <c r="S378" s="8" t="e">
        <f ca="1">_xll.SNL.Clients.Office.Excel.Functions.SPG(A378, "SP_DEBT_TO_EQUITY", "LTM")</f>
        <v>#NAME?</v>
      </c>
      <c r="U378" s="9" t="e">
        <f t="shared" ca="1" si="5"/>
        <v>#VALUE!</v>
      </c>
      <c r="Y378" s="1"/>
      <c r="Z378" s="1"/>
      <c r="AA378" s="10"/>
      <c r="AB378" s="1" t="s">
        <v>804</v>
      </c>
      <c r="AC378" s="1" t="s">
        <v>34</v>
      </c>
      <c r="AD378" s="10">
        <v>530.05850352000004</v>
      </c>
      <c r="AE378" s="1" t="s">
        <v>25</v>
      </c>
    </row>
    <row r="379" spans="1:31" x14ac:dyDescent="0.2">
      <c r="A379" s="1" t="s">
        <v>805</v>
      </c>
      <c r="B379" s="2" t="s">
        <v>1408</v>
      </c>
      <c r="C379" s="3">
        <v>-77.872340425531902</v>
      </c>
      <c r="D379" s="2">
        <v>-16.742000000000001</v>
      </c>
      <c r="E379" s="2">
        <v>43.096153999999999</v>
      </c>
      <c r="F379" s="4">
        <v>0.23200000000000001</v>
      </c>
      <c r="G379" s="4">
        <v>1.8295686171873</v>
      </c>
      <c r="H379" s="2" t="s">
        <v>1408</v>
      </c>
      <c r="I379" s="4" t="s">
        <v>1408</v>
      </c>
      <c r="J379" s="4">
        <v>32.141685991827501</v>
      </c>
      <c r="K379" s="4">
        <v>0.77010299999999998</v>
      </c>
      <c r="L379" s="4" t="s">
        <v>1408</v>
      </c>
      <c r="N379" s="5" t="s">
        <v>1408</v>
      </c>
      <c r="O379" s="5">
        <v>43201</v>
      </c>
      <c r="P379" s="6" t="e">
        <v>#VALUE!</v>
      </c>
      <c r="Q379" s="1"/>
      <c r="R379" s="7" t="e">
        <f ca="1">_xll.SNL.Clients.Office.Excel.Functions.SPG(A379, "SP_TOTAL_DEBT", "LTM")</f>
        <v>#NAME?</v>
      </c>
      <c r="S379" s="8" t="e">
        <f ca="1">_xll.SNL.Clients.Office.Excel.Functions.SPG(A379, "SP_DEBT_TO_EQUITY", "LTM")</f>
        <v>#NAME?</v>
      </c>
      <c r="U379" s="9" t="e">
        <f t="shared" ca="1" si="5"/>
        <v>#VALUE!</v>
      </c>
      <c r="Y379" s="1"/>
      <c r="Z379" s="1"/>
      <c r="AA379" s="10"/>
      <c r="AB379" s="1" t="s">
        <v>806</v>
      </c>
      <c r="AC379" s="1" t="s">
        <v>34</v>
      </c>
      <c r="AD379" s="10">
        <v>1995.9807836499999</v>
      </c>
      <c r="AE379" s="1" t="s">
        <v>25</v>
      </c>
    </row>
    <row r="380" spans="1:31" x14ac:dyDescent="0.2">
      <c r="A380" s="1" t="s">
        <v>807</v>
      </c>
      <c r="B380" s="2" t="s">
        <v>1408</v>
      </c>
      <c r="C380" s="3" t="s">
        <v>1408</v>
      </c>
      <c r="D380" s="2" t="s">
        <v>1408</v>
      </c>
      <c r="E380" s="2" t="s">
        <v>1408</v>
      </c>
      <c r="F380" s="4" t="s">
        <v>1408</v>
      </c>
      <c r="G380" s="4" t="s">
        <v>1408</v>
      </c>
      <c r="H380" s="2" t="s">
        <v>1408</v>
      </c>
      <c r="I380" s="4" t="s">
        <v>1408</v>
      </c>
      <c r="J380" s="4" t="s">
        <v>1408</v>
      </c>
      <c r="K380" s="4" t="s">
        <v>1408</v>
      </c>
      <c r="L380" s="4" t="s">
        <v>1408</v>
      </c>
      <c r="N380" s="5" t="s">
        <v>1408</v>
      </c>
      <c r="O380" s="5" t="s">
        <v>1408</v>
      </c>
      <c r="P380" s="6" t="e">
        <v>#VALUE!</v>
      </c>
      <c r="Q380" s="1"/>
      <c r="R380" s="7" t="e">
        <f ca="1">_xll.SNL.Clients.Office.Excel.Functions.SPG(A380, "SP_TOTAL_DEBT", "LTM")</f>
        <v>#NAME?</v>
      </c>
      <c r="S380" s="8" t="e">
        <f ca="1">_xll.SNL.Clients.Office.Excel.Functions.SPG(A380, "SP_DEBT_TO_EQUITY", "LTM")</f>
        <v>#NAME?</v>
      </c>
      <c r="U380" s="9" t="e">
        <f t="shared" ca="1" si="5"/>
        <v>#VALUE!</v>
      </c>
      <c r="Y380" s="1"/>
      <c r="Z380" s="1"/>
      <c r="AA380" s="10"/>
      <c r="AB380" s="1" t="s">
        <v>808</v>
      </c>
      <c r="AC380" s="1" t="s">
        <v>37</v>
      </c>
      <c r="AD380" s="10">
        <v>325</v>
      </c>
      <c r="AE380" s="1" t="s">
        <v>25</v>
      </c>
    </row>
    <row r="381" spans="1:31" x14ac:dyDescent="0.2">
      <c r="A381" s="1" t="s">
        <v>809</v>
      </c>
      <c r="B381" s="2">
        <v>8.7720000000000002</v>
      </c>
      <c r="C381" s="3">
        <v>9.9193548387096797</v>
      </c>
      <c r="D381" s="2">
        <v>18.86</v>
      </c>
      <c r="E381" s="2">
        <v>35.183743</v>
      </c>
      <c r="F381" s="4">
        <v>1.877</v>
      </c>
      <c r="G381" s="4">
        <v>14.8907882241216</v>
      </c>
      <c r="H381" s="2">
        <v>0.42</v>
      </c>
      <c r="I381" s="4">
        <v>0.33500000000000002</v>
      </c>
      <c r="J381" s="4" t="s">
        <v>1408</v>
      </c>
      <c r="K381" s="4">
        <v>2.63314</v>
      </c>
      <c r="L381" s="4">
        <v>19.147957000000002</v>
      </c>
      <c r="N381" s="5">
        <v>-8353750</v>
      </c>
      <c r="O381" s="5">
        <v>1153000</v>
      </c>
      <c r="P381" s="6">
        <v>-7.2452298352124895</v>
      </c>
      <c r="Q381" s="1"/>
      <c r="R381" s="7" t="e">
        <f ca="1">_xll.SNL.Clients.Office.Excel.Functions.SPG(A381, "SP_TOTAL_DEBT", "LTM")</f>
        <v>#NAME?</v>
      </c>
      <c r="S381" s="8" t="e">
        <f ca="1">_xll.SNL.Clients.Office.Excel.Functions.SPG(A381, "SP_DEBT_TO_EQUITY", "LTM")</f>
        <v>#NAME?</v>
      </c>
      <c r="U381" s="9" t="e">
        <f t="shared" ca="1" si="5"/>
        <v>#NAME?</v>
      </c>
      <c r="Y381" s="1"/>
      <c r="Z381" s="1"/>
      <c r="AA381" s="10"/>
      <c r="AB381" s="1" t="s">
        <v>810</v>
      </c>
      <c r="AC381" s="1" t="s">
        <v>95</v>
      </c>
      <c r="AD381" s="10">
        <v>28023.202577939901</v>
      </c>
      <c r="AE381" s="1" t="s">
        <v>25</v>
      </c>
    </row>
    <row r="382" spans="1:31" x14ac:dyDescent="0.2">
      <c r="A382" s="1" t="s">
        <v>811</v>
      </c>
      <c r="B382" s="2" t="s">
        <v>1408</v>
      </c>
      <c r="C382" s="3" t="s">
        <v>1408</v>
      </c>
      <c r="D382" s="2">
        <v>52.465000000000003</v>
      </c>
      <c r="E382" s="2">
        <v>57.666077999999999</v>
      </c>
      <c r="F382" s="4">
        <v>0.44800000000000001</v>
      </c>
      <c r="G382" s="4">
        <v>-0.18537448140339999</v>
      </c>
      <c r="H382" s="2" t="s">
        <v>1408</v>
      </c>
      <c r="I382" s="4" t="s">
        <v>1408</v>
      </c>
      <c r="J382" s="4">
        <v>4.7928630257267804</v>
      </c>
      <c r="K382" s="4" t="s">
        <v>1408</v>
      </c>
      <c r="L382" s="4" t="s">
        <v>1408</v>
      </c>
      <c r="N382" s="5" t="s">
        <v>1408</v>
      </c>
      <c r="O382" s="5">
        <v>221362</v>
      </c>
      <c r="P382" s="6" t="e">
        <v>#VALUE!</v>
      </c>
      <c r="Q382" s="1"/>
      <c r="R382" s="7" t="e">
        <f ca="1">_xll.SNL.Clients.Office.Excel.Functions.SPG(A382, "SP_TOTAL_DEBT", "LTM")</f>
        <v>#NAME?</v>
      </c>
      <c r="S382" s="8" t="e">
        <f ca="1">_xll.SNL.Clients.Office.Excel.Functions.SPG(A382, "SP_DEBT_TO_EQUITY", "LTM")</f>
        <v>#NAME?</v>
      </c>
      <c r="U382" s="9" t="e">
        <f t="shared" ca="1" si="5"/>
        <v>#VALUE!</v>
      </c>
      <c r="Y382" s="1"/>
      <c r="Z382" s="1"/>
      <c r="AA382" s="10"/>
      <c r="AB382" s="1" t="s">
        <v>812</v>
      </c>
      <c r="AC382" s="1" t="s">
        <v>34</v>
      </c>
      <c r="AD382" s="10">
        <v>2021.0068186000001</v>
      </c>
      <c r="AE382" s="1" t="s">
        <v>42</v>
      </c>
    </row>
    <row r="383" spans="1:31" x14ac:dyDescent="0.2">
      <c r="A383" s="1" t="s">
        <v>813</v>
      </c>
      <c r="B383" s="2" t="s">
        <v>1408</v>
      </c>
      <c r="C383" s="3">
        <v>51.2</v>
      </c>
      <c r="D383" s="2">
        <v>37.037999999999997</v>
      </c>
      <c r="E383" s="2">
        <v>16.405643999999999</v>
      </c>
      <c r="F383" s="4">
        <v>2.3090000000000002</v>
      </c>
      <c r="G383" s="4">
        <v>22.057064418080198</v>
      </c>
      <c r="H383" s="2">
        <v>1.1220000000000001</v>
      </c>
      <c r="I383" s="4">
        <v>3.5999999999999997E-2</v>
      </c>
      <c r="J383" s="4" t="s">
        <v>1408</v>
      </c>
      <c r="K383" s="4">
        <v>2.777711</v>
      </c>
      <c r="L383" s="4" t="s">
        <v>1408</v>
      </c>
      <c r="N383" s="5" t="s">
        <v>1408</v>
      </c>
      <c r="O383" s="5">
        <v>2812000</v>
      </c>
      <c r="P383" s="6" t="e">
        <v>#VALUE!</v>
      </c>
      <c r="Q383" s="1"/>
      <c r="R383" s="7" t="e">
        <f ca="1">_xll.SNL.Clients.Office.Excel.Functions.SPG(A383, "SP_TOTAL_DEBT", "LTM")</f>
        <v>#NAME?</v>
      </c>
      <c r="S383" s="8" t="e">
        <f ca="1">_xll.SNL.Clients.Office.Excel.Functions.SPG(A383, "SP_DEBT_TO_EQUITY", "LTM")</f>
        <v>#NAME?</v>
      </c>
      <c r="U383" s="9" t="e">
        <f t="shared" ca="1" si="5"/>
        <v>#VALUE!</v>
      </c>
      <c r="Y383" s="1"/>
      <c r="Z383" s="1"/>
      <c r="AA383" s="10"/>
      <c r="AB383" s="1" t="s">
        <v>814</v>
      </c>
      <c r="AC383" s="1" t="s">
        <v>174</v>
      </c>
      <c r="AD383" s="10">
        <v>9497.6199450000004</v>
      </c>
      <c r="AE383" s="1" t="s">
        <v>25</v>
      </c>
    </row>
    <row r="384" spans="1:31" x14ac:dyDescent="0.2">
      <c r="A384" s="1" t="s">
        <v>815</v>
      </c>
      <c r="B384" s="2" t="s">
        <v>1408</v>
      </c>
      <c r="C384" s="3" t="s">
        <v>1408</v>
      </c>
      <c r="D384" s="2">
        <v>4.3689999999999998</v>
      </c>
      <c r="E384" s="2">
        <v>7.423044</v>
      </c>
      <c r="F384" s="4">
        <v>1.341</v>
      </c>
      <c r="G384" s="4" t="s">
        <v>1408</v>
      </c>
      <c r="H384" s="2" t="s">
        <v>1408</v>
      </c>
      <c r="I384" s="4" t="s">
        <v>1408</v>
      </c>
      <c r="J384" s="4">
        <v>24.484868103826201</v>
      </c>
      <c r="K384" s="4">
        <v>1.0742860000000001</v>
      </c>
      <c r="L384" s="4" t="s">
        <v>1408</v>
      </c>
      <c r="N384" s="5" t="s">
        <v>1408</v>
      </c>
      <c r="O384" s="5">
        <v>1177382</v>
      </c>
      <c r="P384" s="6" t="e">
        <v>#VALUE!</v>
      </c>
      <c r="Q384" s="1"/>
      <c r="R384" s="7" t="e">
        <f ca="1">_xll.SNL.Clients.Office.Excel.Functions.SPG(A384, "SP_TOTAL_DEBT", "LTM")</f>
        <v>#NAME?</v>
      </c>
      <c r="S384" s="8" t="e">
        <f ca="1">_xll.SNL.Clients.Office.Excel.Functions.SPG(A384, "SP_DEBT_TO_EQUITY", "LTM")</f>
        <v>#NAME?</v>
      </c>
      <c r="U384" s="9" t="e">
        <f t="shared" ca="1" si="5"/>
        <v>#VALUE!</v>
      </c>
      <c r="Y384" s="1"/>
      <c r="Z384" s="1"/>
      <c r="AA384" s="10"/>
      <c r="AB384" s="1" t="s">
        <v>816</v>
      </c>
      <c r="AC384" s="1" t="s">
        <v>34</v>
      </c>
      <c r="AD384" s="10">
        <v>2690.2965675</v>
      </c>
      <c r="AE384" s="1" t="s">
        <v>42</v>
      </c>
    </row>
    <row r="385" spans="1:31" x14ac:dyDescent="0.2">
      <c r="A385" s="1" t="s">
        <v>817</v>
      </c>
      <c r="B385" s="2" t="s">
        <v>1408</v>
      </c>
      <c r="C385" s="3">
        <v>19.5</v>
      </c>
      <c r="D385" s="2">
        <v>11.52</v>
      </c>
      <c r="E385" s="2">
        <v>7.9394400000000003</v>
      </c>
      <c r="F385" s="4">
        <v>2.65</v>
      </c>
      <c r="G385" s="4">
        <v>14.3716440085144</v>
      </c>
      <c r="H385" s="2" t="s">
        <v>1408</v>
      </c>
      <c r="I385" s="4" t="s">
        <v>1408</v>
      </c>
      <c r="J385" s="4">
        <v>63.2607036040258</v>
      </c>
      <c r="K385" s="4">
        <v>1.483493</v>
      </c>
      <c r="L385" s="4" t="s">
        <v>1408</v>
      </c>
      <c r="N385" s="5" t="s">
        <v>1408</v>
      </c>
      <c r="O385" s="5">
        <v>411631</v>
      </c>
      <c r="P385" s="6" t="e">
        <v>#VALUE!</v>
      </c>
      <c r="Q385" s="1"/>
      <c r="R385" s="7" t="e">
        <f ca="1">_xll.SNL.Clients.Office.Excel.Functions.SPG(A385, "SP_TOTAL_DEBT", "LTM")</f>
        <v>#NAME?</v>
      </c>
      <c r="S385" s="8" t="e">
        <f ca="1">_xll.SNL.Clients.Office.Excel.Functions.SPG(A385, "SP_DEBT_TO_EQUITY", "LTM")</f>
        <v>#NAME?</v>
      </c>
      <c r="U385" s="9" t="e">
        <f t="shared" ca="1" si="5"/>
        <v>#VALUE!</v>
      </c>
      <c r="Y385" s="1"/>
      <c r="Z385" s="1"/>
      <c r="AA385" s="10"/>
      <c r="AB385" s="1" t="s">
        <v>818</v>
      </c>
      <c r="AC385" s="1" t="s">
        <v>34</v>
      </c>
      <c r="AD385" s="10">
        <v>3280.41035418</v>
      </c>
      <c r="AE385" s="1" t="s">
        <v>25</v>
      </c>
    </row>
    <row r="386" spans="1:31" x14ac:dyDescent="0.2">
      <c r="A386" s="1" t="s">
        <v>819</v>
      </c>
      <c r="B386" s="2">
        <v>19.538</v>
      </c>
      <c r="C386" s="3">
        <v>23.3333333333333</v>
      </c>
      <c r="D386" s="2">
        <v>19.076000000000001</v>
      </c>
      <c r="E386" s="2">
        <v>14.17456</v>
      </c>
      <c r="F386" s="4">
        <v>10.093999999999999</v>
      </c>
      <c r="G386" s="4">
        <v>37.9412922844786</v>
      </c>
      <c r="H386" s="2">
        <v>1.9770000000000001</v>
      </c>
      <c r="I386" s="4">
        <v>1.2370000000000001</v>
      </c>
      <c r="J386" s="4" t="s">
        <v>1408</v>
      </c>
      <c r="K386" s="4">
        <v>4.6607339999999997</v>
      </c>
      <c r="L386" s="4">
        <v>7.2131020000000001</v>
      </c>
      <c r="N386" s="5">
        <v>118314.5</v>
      </c>
      <c r="O386" s="5">
        <v>55083</v>
      </c>
      <c r="P386" s="6">
        <v>2.1479313036690084</v>
      </c>
      <c r="Q386" s="1"/>
      <c r="R386" s="7" t="e">
        <f ca="1">_xll.SNL.Clients.Office.Excel.Functions.SPG(A386, "SP_TOTAL_DEBT", "LTM")</f>
        <v>#NAME?</v>
      </c>
      <c r="S386" s="8" t="e">
        <f ca="1">_xll.SNL.Clients.Office.Excel.Functions.SPG(A386, "SP_DEBT_TO_EQUITY", "LTM")</f>
        <v>#NAME?</v>
      </c>
      <c r="U386" s="9" t="e">
        <f t="shared" ca="1" si="5"/>
        <v>#NAME?</v>
      </c>
      <c r="Y386" s="1"/>
      <c r="Z386" s="1"/>
      <c r="AA386" s="10"/>
      <c r="AB386" s="1" t="s">
        <v>820</v>
      </c>
      <c r="AC386" s="1" t="s">
        <v>167</v>
      </c>
      <c r="AD386" s="10">
        <v>718.26067379999995</v>
      </c>
      <c r="AE386" s="1" t="s">
        <v>25</v>
      </c>
    </row>
    <row r="387" spans="1:31" x14ac:dyDescent="0.2">
      <c r="A387" s="1" t="s">
        <v>821</v>
      </c>
      <c r="B387" s="2">
        <v>6.407</v>
      </c>
      <c r="C387" s="3" t="s">
        <v>1408</v>
      </c>
      <c r="D387" s="2" t="s">
        <v>1409</v>
      </c>
      <c r="E387" s="2" t="s">
        <v>1408</v>
      </c>
      <c r="F387" s="4">
        <v>2.8330000000000002</v>
      </c>
      <c r="G387" s="4" t="s">
        <v>1408</v>
      </c>
      <c r="H387" s="2">
        <v>1.125</v>
      </c>
      <c r="I387" s="4">
        <v>0.39400000000000002</v>
      </c>
      <c r="J387" s="4" t="s">
        <v>1408</v>
      </c>
      <c r="K387" s="4">
        <v>0.31822</v>
      </c>
      <c r="L387" s="4">
        <v>7.2103859999999997</v>
      </c>
      <c r="N387" s="5">
        <v>-71753.75</v>
      </c>
      <c r="O387" s="5">
        <v>-93551</v>
      </c>
      <c r="P387" s="6">
        <v>0.76700142168442886</v>
      </c>
      <c r="Q387" s="1"/>
      <c r="R387" s="7" t="e">
        <f ca="1">_xll.SNL.Clients.Office.Excel.Functions.SPG(A387, "SP_TOTAL_DEBT", "LTM")</f>
        <v>#NAME?</v>
      </c>
      <c r="S387" s="8" t="e">
        <f ca="1">_xll.SNL.Clients.Office.Excel.Functions.SPG(A387, "SP_DEBT_TO_EQUITY", "LTM")</f>
        <v>#NAME?</v>
      </c>
      <c r="U387" s="9" t="e">
        <f t="shared" ref="U387:U450" ca="1" si="6">N387/R387</f>
        <v>#NAME?</v>
      </c>
      <c r="Y387" s="1"/>
      <c r="Z387" s="1"/>
      <c r="AA387" s="10"/>
      <c r="AB387" s="1" t="s">
        <v>822</v>
      </c>
      <c r="AC387" s="1" t="s">
        <v>123</v>
      </c>
      <c r="AD387" s="10">
        <v>320.95690215887498</v>
      </c>
      <c r="AE387" s="1" t="s">
        <v>42</v>
      </c>
    </row>
    <row r="388" spans="1:31" x14ac:dyDescent="0.2">
      <c r="A388" s="1" t="s">
        <v>823</v>
      </c>
      <c r="B388" s="2">
        <v>8.343</v>
      </c>
      <c r="C388" s="3" t="s">
        <v>1408</v>
      </c>
      <c r="D388" s="2">
        <v>4.2089999999999996</v>
      </c>
      <c r="E388" s="2">
        <v>16.666667</v>
      </c>
      <c r="F388" s="4">
        <v>5.7549999999999999</v>
      </c>
      <c r="G388" s="4" t="s">
        <v>1408</v>
      </c>
      <c r="H388" s="2">
        <v>0.98899999999999999</v>
      </c>
      <c r="I388" s="4">
        <v>0.97199999999999998</v>
      </c>
      <c r="J388" s="4" t="s">
        <v>1408</v>
      </c>
      <c r="K388" s="4">
        <v>4.4785279999999998</v>
      </c>
      <c r="L388" s="4">
        <v>12.262052000000001</v>
      </c>
      <c r="N388" s="5">
        <v>1516782.875</v>
      </c>
      <c r="O388" s="5">
        <v>189836</v>
      </c>
      <c r="P388" s="6">
        <v>7.9899643639773279</v>
      </c>
      <c r="Q388" s="1"/>
      <c r="R388" s="7" t="e">
        <f ca="1">_xll.SNL.Clients.Office.Excel.Functions.SPG(A388, "SP_TOTAL_DEBT", "LTM")</f>
        <v>#NAME?</v>
      </c>
      <c r="S388" s="8" t="e">
        <f ca="1">_xll.SNL.Clients.Office.Excel.Functions.SPG(A388, "SP_DEBT_TO_EQUITY", "LTM")</f>
        <v>#NAME?</v>
      </c>
      <c r="U388" s="9" t="e">
        <f t="shared" ca="1" si="6"/>
        <v>#NAME?</v>
      </c>
      <c r="Y388" s="1"/>
      <c r="Z388" s="1"/>
      <c r="AA388" s="10"/>
      <c r="AB388" s="1" t="s">
        <v>824</v>
      </c>
      <c r="AC388" s="1" t="s">
        <v>37</v>
      </c>
      <c r="AD388" s="10">
        <v>5633.93307567582</v>
      </c>
      <c r="AE388" s="1" t="s">
        <v>42</v>
      </c>
    </row>
    <row r="389" spans="1:31" x14ac:dyDescent="0.2">
      <c r="A389" s="1" t="s">
        <v>825</v>
      </c>
      <c r="B389" s="2">
        <v>3.6949999999999998</v>
      </c>
      <c r="C389" s="3" t="s">
        <v>1408</v>
      </c>
      <c r="D389" s="2">
        <v>16.184000000000001</v>
      </c>
      <c r="E389" s="2" t="s">
        <v>1408</v>
      </c>
      <c r="F389" s="4">
        <v>0.91900000000000004</v>
      </c>
      <c r="G389" s="4" t="s">
        <v>1408</v>
      </c>
      <c r="H389" s="2">
        <v>1.302</v>
      </c>
      <c r="I389" s="4">
        <v>0.2</v>
      </c>
      <c r="J389" s="4" t="s">
        <v>1408</v>
      </c>
      <c r="K389" s="4" t="s">
        <v>1408</v>
      </c>
      <c r="L389" s="4">
        <v>10.971911</v>
      </c>
      <c r="N389" s="5">
        <v>-435682.696</v>
      </c>
      <c r="O389" s="5">
        <v>202856.07</v>
      </c>
      <c r="P389" s="6">
        <v>-2.1477429588377612</v>
      </c>
      <c r="Q389" s="1"/>
      <c r="R389" s="7" t="e">
        <f ca="1">_xll.SNL.Clients.Office.Excel.Functions.SPG(A389, "SP_TOTAL_DEBT", "LTM")</f>
        <v>#NAME?</v>
      </c>
      <c r="S389" s="8" t="e">
        <f ca="1">_xll.SNL.Clients.Office.Excel.Functions.SPG(A389, "SP_DEBT_TO_EQUITY", "LTM")</f>
        <v>#NAME?</v>
      </c>
      <c r="U389" s="9" t="e">
        <f t="shared" ca="1" si="6"/>
        <v>#NAME?</v>
      </c>
      <c r="Y389" s="1"/>
      <c r="Z389" s="1"/>
      <c r="AA389" s="10"/>
      <c r="AB389" s="1" t="s">
        <v>826</v>
      </c>
      <c r="AC389" s="1" t="s">
        <v>123</v>
      </c>
      <c r="AD389" s="10">
        <v>777.52753557907795</v>
      </c>
      <c r="AE389" s="1" t="s">
        <v>42</v>
      </c>
    </row>
    <row r="390" spans="1:31" x14ac:dyDescent="0.2">
      <c r="A390" s="1" t="s">
        <v>827</v>
      </c>
      <c r="B390" s="2">
        <v>-1.357</v>
      </c>
      <c r="C390" s="3" t="s">
        <v>1409</v>
      </c>
      <c r="D390" s="2">
        <v>-5.4969999999999999</v>
      </c>
      <c r="E390" s="2" t="s">
        <v>1409</v>
      </c>
      <c r="F390" s="4">
        <v>-0.83699999999999997</v>
      </c>
      <c r="G390" s="4" t="s">
        <v>1408</v>
      </c>
      <c r="H390" s="2" t="s">
        <v>1408</v>
      </c>
      <c r="I390" s="4">
        <v>0.19500000000000001</v>
      </c>
      <c r="J390" s="4" t="s">
        <v>1408</v>
      </c>
      <c r="K390" s="4">
        <v>0.48899199999999998</v>
      </c>
      <c r="L390" s="4">
        <v>8.6780880000000007</v>
      </c>
      <c r="N390" s="5" t="s">
        <v>1408</v>
      </c>
      <c r="O390" s="5">
        <v>-168200</v>
      </c>
      <c r="P390" s="6" t="e">
        <v>#VALUE!</v>
      </c>
      <c r="Q390" s="1"/>
      <c r="R390" s="7" t="e">
        <f ca="1">_xll.SNL.Clients.Office.Excel.Functions.SPG(A390, "SP_TOTAL_DEBT", "LTM")</f>
        <v>#NAME?</v>
      </c>
      <c r="S390" s="8" t="e">
        <f ca="1">_xll.SNL.Clients.Office.Excel.Functions.SPG(A390, "SP_DEBT_TO_EQUITY", "LTM")</f>
        <v>#NAME?</v>
      </c>
      <c r="U390" s="9" t="e">
        <f t="shared" ca="1" si="6"/>
        <v>#VALUE!</v>
      </c>
      <c r="Y390" s="1"/>
      <c r="Z390" s="1"/>
      <c r="AA390" s="10"/>
      <c r="AB390" s="1" t="s">
        <v>828</v>
      </c>
      <c r="AC390" s="1" t="s">
        <v>37</v>
      </c>
      <c r="AD390" s="10">
        <v>7116.4461361699996</v>
      </c>
      <c r="AE390" s="1" t="s">
        <v>25</v>
      </c>
    </row>
    <row r="391" spans="1:31" x14ac:dyDescent="0.2">
      <c r="A391" s="1" t="s">
        <v>829</v>
      </c>
      <c r="B391" s="2" t="s">
        <v>1408</v>
      </c>
      <c r="C391" s="3" t="s">
        <v>1409</v>
      </c>
      <c r="D391" s="2" t="s">
        <v>1409</v>
      </c>
      <c r="E391" s="2" t="s">
        <v>1409</v>
      </c>
      <c r="F391" s="4">
        <v>-0.125</v>
      </c>
      <c r="G391" s="4">
        <v>-42.361772591074001</v>
      </c>
      <c r="H391" s="2">
        <v>7.6999999999999999E-2</v>
      </c>
      <c r="I391" s="4">
        <v>3.0000000000000001E-3</v>
      </c>
      <c r="J391" s="4" t="s">
        <v>1408</v>
      </c>
      <c r="K391" s="4">
        <v>0.85609999999999997</v>
      </c>
      <c r="L391" s="4" t="s">
        <v>1408</v>
      </c>
      <c r="N391" s="5" t="s">
        <v>1408</v>
      </c>
      <c r="O391" s="5">
        <v>-6597</v>
      </c>
      <c r="P391" s="6" t="e">
        <v>#VALUE!</v>
      </c>
      <c r="Q391" s="1"/>
      <c r="R391" s="7" t="e">
        <f ca="1">_xll.SNL.Clients.Office.Excel.Functions.SPG(A391, "SP_TOTAL_DEBT", "LTM")</f>
        <v>#NAME?</v>
      </c>
      <c r="S391" s="8" t="e">
        <f ca="1">_xll.SNL.Clients.Office.Excel.Functions.SPG(A391, "SP_DEBT_TO_EQUITY", "LTM")</f>
        <v>#NAME?</v>
      </c>
      <c r="U391" s="9" t="e">
        <f t="shared" ca="1" si="6"/>
        <v>#VALUE!</v>
      </c>
      <c r="Y391" s="1"/>
      <c r="Z391" s="1"/>
      <c r="AA391" s="10"/>
      <c r="AB391" s="1" t="s">
        <v>830</v>
      </c>
      <c r="AC391" s="1" t="s">
        <v>65</v>
      </c>
      <c r="AD391" s="10">
        <v>426.93811505999997</v>
      </c>
      <c r="AE391" s="1" t="s">
        <v>25</v>
      </c>
    </row>
    <row r="392" spans="1:31" x14ac:dyDescent="0.2">
      <c r="A392" s="1" t="s">
        <v>831</v>
      </c>
      <c r="B392" s="2">
        <v>7.7889999999999997</v>
      </c>
      <c r="C392" s="3">
        <v>-64.314058956916099</v>
      </c>
      <c r="D392" s="2">
        <v>-12.965</v>
      </c>
      <c r="E392" s="2">
        <v>13.752838000000001</v>
      </c>
      <c r="F392" s="4">
        <v>5.4880000000000004</v>
      </c>
      <c r="G392" s="4">
        <v>10.174076174687</v>
      </c>
      <c r="H392" s="2">
        <v>2.4039999999999999</v>
      </c>
      <c r="I392" s="4">
        <v>0.71099999999999997</v>
      </c>
      <c r="J392" s="4" t="s">
        <v>1408</v>
      </c>
      <c r="K392" s="4">
        <v>1.269309</v>
      </c>
      <c r="L392" s="4">
        <v>8.2244410000000006</v>
      </c>
      <c r="N392" s="5">
        <v>-12707</v>
      </c>
      <c r="O392" s="5">
        <v>23376</v>
      </c>
      <c r="P392" s="6">
        <v>-0.54359171800136896</v>
      </c>
      <c r="Q392" s="1"/>
      <c r="R392" s="7" t="e">
        <f ca="1">_xll.SNL.Clients.Office.Excel.Functions.SPG(A392, "SP_TOTAL_DEBT", "LTM")</f>
        <v>#NAME?</v>
      </c>
      <c r="S392" s="8" t="e">
        <f ca="1">_xll.SNL.Clients.Office.Excel.Functions.SPG(A392, "SP_DEBT_TO_EQUITY", "LTM")</f>
        <v>#NAME?</v>
      </c>
      <c r="U392" s="9" t="e">
        <f t="shared" ca="1" si="6"/>
        <v>#NAME?</v>
      </c>
      <c r="Y392" s="1"/>
      <c r="Z392" s="1"/>
      <c r="AA392" s="10"/>
      <c r="AB392" s="1" t="s">
        <v>832</v>
      </c>
      <c r="AC392" s="1" t="s">
        <v>580</v>
      </c>
      <c r="AD392" s="10">
        <v>316.20669674999999</v>
      </c>
      <c r="AE392" s="1" t="s">
        <v>25</v>
      </c>
    </row>
    <row r="393" spans="1:31" x14ac:dyDescent="0.2">
      <c r="A393" s="1" t="s">
        <v>833</v>
      </c>
      <c r="B393" s="2" t="s">
        <v>1408</v>
      </c>
      <c r="C393" s="3" t="s">
        <v>1408</v>
      </c>
      <c r="D393" s="2">
        <v>33.423999999999999</v>
      </c>
      <c r="E393" s="2">
        <v>11.646072999999999</v>
      </c>
      <c r="F393" s="4">
        <v>0.60699999999999998</v>
      </c>
      <c r="G393" s="4">
        <v>11.5140860413733</v>
      </c>
      <c r="H393" s="2">
        <v>0.42199999999999999</v>
      </c>
      <c r="I393" s="4">
        <v>3.5999999999999997E-2</v>
      </c>
      <c r="J393" s="4">
        <v>22.8051665791197</v>
      </c>
      <c r="K393" s="4">
        <v>1.0301769999999999</v>
      </c>
      <c r="L393" s="4" t="s">
        <v>1408</v>
      </c>
      <c r="N393" s="5" t="s">
        <v>1408</v>
      </c>
      <c r="O393" s="5">
        <v>1151391.003</v>
      </c>
      <c r="P393" s="6" t="e">
        <v>#VALUE!</v>
      </c>
      <c r="Q393" s="1"/>
      <c r="R393" s="7" t="e">
        <f ca="1">_xll.SNL.Clients.Office.Excel.Functions.SPG(A393, "SP_TOTAL_DEBT", "LTM")</f>
        <v>#NAME?</v>
      </c>
      <c r="S393" s="8" t="e">
        <f ca="1">_xll.SNL.Clients.Office.Excel.Functions.SPG(A393, "SP_DEBT_TO_EQUITY", "LTM")</f>
        <v>#NAME?</v>
      </c>
      <c r="U393" s="9" t="e">
        <f t="shared" ca="1" si="6"/>
        <v>#VALUE!</v>
      </c>
      <c r="Y393" s="1"/>
      <c r="Z393" s="1"/>
      <c r="AA393" s="10"/>
      <c r="AB393" s="1" t="s">
        <v>834</v>
      </c>
      <c r="AC393" s="1" t="s">
        <v>161</v>
      </c>
      <c r="AD393" s="10">
        <v>770.23096364379796</v>
      </c>
      <c r="AE393" s="1" t="s">
        <v>42</v>
      </c>
    </row>
    <row r="394" spans="1:31" x14ac:dyDescent="0.2">
      <c r="A394" s="1" t="s">
        <v>835</v>
      </c>
      <c r="B394" s="2">
        <v>-4.4459999999999997</v>
      </c>
      <c r="C394" s="3" t="s">
        <v>1408</v>
      </c>
      <c r="D394" s="2">
        <v>-14.021000000000001</v>
      </c>
      <c r="E394" s="2" t="s">
        <v>1408</v>
      </c>
      <c r="F394" s="4">
        <v>2.17</v>
      </c>
      <c r="G394" s="4" t="s">
        <v>1408</v>
      </c>
      <c r="H394" s="2">
        <v>0.82699999999999996</v>
      </c>
      <c r="I394" s="4">
        <v>0.39700000000000002</v>
      </c>
      <c r="J394" s="4" t="s">
        <v>1408</v>
      </c>
      <c r="K394" s="4">
        <v>0.82908099999999996</v>
      </c>
      <c r="L394" s="4">
        <v>5.3689489999999997</v>
      </c>
      <c r="N394" s="5">
        <v>-764581.375</v>
      </c>
      <c r="O394" s="5">
        <v>37626</v>
      </c>
      <c r="P394" s="6">
        <v>-20.320559586456174</v>
      </c>
      <c r="Q394" s="1"/>
      <c r="R394" s="7" t="e">
        <f ca="1">_xll.SNL.Clients.Office.Excel.Functions.SPG(A394, "SP_TOTAL_DEBT", "LTM")</f>
        <v>#NAME?</v>
      </c>
      <c r="S394" s="8" t="e">
        <f ca="1">_xll.SNL.Clients.Office.Excel.Functions.SPG(A394, "SP_DEBT_TO_EQUITY", "LTM")</f>
        <v>#NAME?</v>
      </c>
      <c r="U394" s="9" t="e">
        <f t="shared" ca="1" si="6"/>
        <v>#NAME?</v>
      </c>
      <c r="Y394" s="1"/>
      <c r="Z394" s="1"/>
      <c r="AA394" s="10"/>
      <c r="AB394" s="1" t="s">
        <v>836</v>
      </c>
      <c r="AC394" s="1" t="s">
        <v>324</v>
      </c>
      <c r="AD394" s="10">
        <v>676.03334256125504</v>
      </c>
      <c r="AE394" s="1" t="s">
        <v>42</v>
      </c>
    </row>
    <row r="395" spans="1:31" x14ac:dyDescent="0.2">
      <c r="A395" s="1" t="s">
        <v>837</v>
      </c>
      <c r="B395" s="2">
        <v>0.93899999999999995</v>
      </c>
      <c r="C395" s="3" t="s">
        <v>1408</v>
      </c>
      <c r="D395" s="2">
        <v>3.8679999999999999</v>
      </c>
      <c r="E395" s="2" t="s">
        <v>1408</v>
      </c>
      <c r="F395" s="4">
        <v>0.82299999999999995</v>
      </c>
      <c r="G395" s="4" t="s">
        <v>1408</v>
      </c>
      <c r="H395" s="2">
        <v>1.647</v>
      </c>
      <c r="I395" s="4">
        <v>7.4999999999999997E-2</v>
      </c>
      <c r="J395" s="4" t="s">
        <v>1408</v>
      </c>
      <c r="K395" s="4">
        <v>1.347726</v>
      </c>
      <c r="L395" s="4">
        <v>7.8767050000000003</v>
      </c>
      <c r="N395" s="5">
        <v>1269500</v>
      </c>
      <c r="O395" s="5">
        <v>14333000</v>
      </c>
      <c r="P395" s="6">
        <v>8.8571827251796548E-2</v>
      </c>
      <c r="Q395" s="1"/>
      <c r="R395" s="7" t="e">
        <f ca="1">_xll.SNL.Clients.Office.Excel.Functions.SPG(A395, "SP_TOTAL_DEBT", "LTM")</f>
        <v>#NAME?</v>
      </c>
      <c r="S395" s="8" t="e">
        <f ca="1">_xll.SNL.Clients.Office.Excel.Functions.SPG(A395, "SP_DEBT_TO_EQUITY", "LTM")</f>
        <v>#NAME?</v>
      </c>
      <c r="U395" s="9" t="e">
        <f t="shared" ca="1" si="6"/>
        <v>#NAME?</v>
      </c>
      <c r="Y395" s="1"/>
      <c r="Z395" s="1"/>
      <c r="AA395" s="10"/>
      <c r="AB395" s="1" t="s">
        <v>838</v>
      </c>
      <c r="AC395" s="1" t="s">
        <v>34</v>
      </c>
      <c r="AD395" s="10">
        <v>20630.057241554001</v>
      </c>
      <c r="AE395" s="1" t="s">
        <v>42</v>
      </c>
    </row>
    <row r="396" spans="1:31" x14ac:dyDescent="0.2">
      <c r="A396" s="1" t="s">
        <v>839</v>
      </c>
      <c r="B396" s="2">
        <v>17.257000000000001</v>
      </c>
      <c r="C396" s="3">
        <v>1.6194331983805501</v>
      </c>
      <c r="D396" s="2">
        <v>6.9390000000000001</v>
      </c>
      <c r="E396" s="2">
        <v>32.076321</v>
      </c>
      <c r="F396" s="4" t="s">
        <v>1408</v>
      </c>
      <c r="G396" s="4">
        <v>24.4206668100352</v>
      </c>
      <c r="H396" s="2" t="s">
        <v>1408</v>
      </c>
      <c r="I396" s="4" t="s">
        <v>1408</v>
      </c>
      <c r="J396" s="4" t="s">
        <v>1408</v>
      </c>
      <c r="K396" s="4">
        <v>7.1906119999999998</v>
      </c>
      <c r="L396" s="4">
        <v>21.693259999999999</v>
      </c>
      <c r="N396" s="5" t="s">
        <v>1408</v>
      </c>
      <c r="O396" s="5">
        <v>361776</v>
      </c>
      <c r="P396" s="6" t="e">
        <v>#VALUE!</v>
      </c>
      <c r="Q396" s="1"/>
      <c r="R396" s="7" t="e">
        <f ca="1">_xll.SNL.Clients.Office.Excel.Functions.SPG(A396, "SP_TOTAL_DEBT", "LTM")</f>
        <v>#NAME?</v>
      </c>
      <c r="S396" s="8" t="e">
        <f ca="1">_xll.SNL.Clients.Office.Excel.Functions.SPG(A396, "SP_DEBT_TO_EQUITY", "LTM")</f>
        <v>#NAME?</v>
      </c>
      <c r="U396" s="9" t="e">
        <f t="shared" ca="1" si="6"/>
        <v>#VALUE!</v>
      </c>
      <c r="Y396" s="1"/>
      <c r="Z396" s="1"/>
      <c r="AA396" s="10"/>
      <c r="AB396" s="1" t="s">
        <v>840</v>
      </c>
      <c r="AC396" s="1" t="s">
        <v>77</v>
      </c>
      <c r="AD396" s="10">
        <v>12077.100737659999</v>
      </c>
      <c r="AE396" s="1" t="s">
        <v>25</v>
      </c>
    </row>
    <row r="397" spans="1:31" x14ac:dyDescent="0.2">
      <c r="A397" s="1" t="s">
        <v>841</v>
      </c>
      <c r="B397" s="2">
        <v>28.58</v>
      </c>
      <c r="C397" s="3">
        <v>107.028827545266</v>
      </c>
      <c r="D397" s="2">
        <v>57.359000000000002</v>
      </c>
      <c r="E397" s="2">
        <v>5.087269</v>
      </c>
      <c r="F397" s="4">
        <v>-0.51600000000000001</v>
      </c>
      <c r="G397" s="4">
        <v>61.466350897967203</v>
      </c>
      <c r="H397" s="2">
        <v>1.361</v>
      </c>
      <c r="I397" s="4">
        <v>1.6E-2</v>
      </c>
      <c r="J397" s="4" t="s">
        <v>1408</v>
      </c>
      <c r="K397" s="4">
        <v>0.44344</v>
      </c>
      <c r="L397" s="4" t="s">
        <v>1409</v>
      </c>
      <c r="N397" s="5">
        <v>-4175875</v>
      </c>
      <c r="O397" s="5">
        <v>1356000</v>
      </c>
      <c r="P397" s="6">
        <v>-3.0795538348082596</v>
      </c>
      <c r="Q397" s="1"/>
      <c r="R397" s="7" t="e">
        <f ca="1">_xll.SNL.Clients.Office.Excel.Functions.SPG(A397, "SP_TOTAL_DEBT", "LTM")</f>
        <v>#NAME?</v>
      </c>
      <c r="S397" s="8" t="e">
        <f ca="1">_xll.SNL.Clients.Office.Excel.Functions.SPG(A397, "SP_DEBT_TO_EQUITY", "LTM")</f>
        <v>#NAME?</v>
      </c>
      <c r="U397" s="9" t="e">
        <f t="shared" ca="1" si="6"/>
        <v>#NAME?</v>
      </c>
      <c r="Y397" s="1"/>
      <c r="Z397" s="1"/>
      <c r="AA397" s="10"/>
      <c r="AB397" s="1" t="s">
        <v>842</v>
      </c>
      <c r="AC397" s="1" t="s">
        <v>60</v>
      </c>
      <c r="AD397" s="10">
        <v>3980.5682545499999</v>
      </c>
      <c r="AE397" s="1" t="s">
        <v>25</v>
      </c>
    </row>
    <row r="398" spans="1:31" x14ac:dyDescent="0.2">
      <c r="A398" s="1" t="s">
        <v>843</v>
      </c>
      <c r="B398" s="2">
        <v>4.29</v>
      </c>
      <c r="C398" s="3" t="s">
        <v>1409</v>
      </c>
      <c r="D398" s="2">
        <v>5.2809999999999997</v>
      </c>
      <c r="E398" s="2">
        <v>6.9136749999999996</v>
      </c>
      <c r="F398" s="4">
        <v>1.4630000000000001</v>
      </c>
      <c r="G398" s="4">
        <v>5.1440958864920798</v>
      </c>
      <c r="H398" s="2">
        <v>2.3780000000000001</v>
      </c>
      <c r="I398" s="4">
        <v>0.17699999999999999</v>
      </c>
      <c r="J398" s="4" t="s">
        <v>1408</v>
      </c>
      <c r="K398" s="4">
        <v>0.60523000000000005</v>
      </c>
      <c r="L398" s="4">
        <v>4.5326430000000002</v>
      </c>
      <c r="N398" s="5">
        <v>279815.125</v>
      </c>
      <c r="O398" s="5">
        <v>62798</v>
      </c>
      <c r="P398" s="6">
        <v>4.4557967610433451</v>
      </c>
      <c r="Q398" s="1"/>
      <c r="R398" s="7" t="e">
        <f ca="1">_xll.SNL.Clients.Office.Excel.Functions.SPG(A398, "SP_TOTAL_DEBT", "LTM")</f>
        <v>#NAME?</v>
      </c>
      <c r="S398" s="8" t="e">
        <f ca="1">_xll.SNL.Clients.Office.Excel.Functions.SPG(A398, "SP_DEBT_TO_EQUITY", "LTM")</f>
        <v>#NAME?</v>
      </c>
      <c r="U398" s="9" t="e">
        <f t="shared" ca="1" si="6"/>
        <v>#NAME?</v>
      </c>
      <c r="Y398" s="1"/>
      <c r="Z398" s="1"/>
      <c r="AA398" s="10"/>
      <c r="AB398" s="1" t="s">
        <v>844</v>
      </c>
      <c r="AC398" s="1" t="s">
        <v>95</v>
      </c>
      <c r="AD398" s="10">
        <v>360.21066575999998</v>
      </c>
      <c r="AE398" s="1" t="s">
        <v>25</v>
      </c>
    </row>
    <row r="399" spans="1:31" x14ac:dyDescent="0.2">
      <c r="A399" s="1" t="s">
        <v>845</v>
      </c>
      <c r="B399" s="2">
        <v>4.5060000000000002</v>
      </c>
      <c r="C399" s="3" t="s">
        <v>1408</v>
      </c>
      <c r="D399" s="2" t="s">
        <v>1408</v>
      </c>
      <c r="E399" s="2">
        <v>44.291497999999997</v>
      </c>
      <c r="F399" s="4">
        <v>-1.4E-2</v>
      </c>
      <c r="G399" s="4" t="s">
        <v>1408</v>
      </c>
      <c r="H399" s="2">
        <v>0.08</v>
      </c>
      <c r="I399" s="4" t="s">
        <v>1408</v>
      </c>
      <c r="J399" s="4" t="s">
        <v>1408</v>
      </c>
      <c r="K399" s="4" t="s">
        <v>1409</v>
      </c>
      <c r="L399" s="4" t="s">
        <v>1408</v>
      </c>
      <c r="N399" s="5">
        <v>-396.16300000000001</v>
      </c>
      <c r="O399" s="5">
        <v>15558.451999999999</v>
      </c>
      <c r="P399" s="6">
        <v>-2.5462880240270692E-2</v>
      </c>
      <c r="Q399" s="1"/>
      <c r="R399" s="7" t="e">
        <f ca="1">_xll.SNL.Clients.Office.Excel.Functions.SPG(A399, "SP_TOTAL_DEBT", "LTM")</f>
        <v>#NAME?</v>
      </c>
      <c r="S399" s="8" t="e">
        <f ca="1">_xll.SNL.Clients.Office.Excel.Functions.SPG(A399, "SP_DEBT_TO_EQUITY", "LTM")</f>
        <v>#NAME?</v>
      </c>
      <c r="U399" s="9" t="e">
        <f t="shared" ca="1" si="6"/>
        <v>#NAME?</v>
      </c>
      <c r="Y399" s="1"/>
      <c r="Z399" s="1"/>
      <c r="AA399" s="10"/>
      <c r="AB399" s="1" t="s">
        <v>846</v>
      </c>
      <c r="AC399" s="1" t="s">
        <v>37</v>
      </c>
      <c r="AD399" s="10">
        <v>307.48496785999998</v>
      </c>
      <c r="AE399" s="1" t="s">
        <v>25</v>
      </c>
    </row>
    <row r="400" spans="1:31" x14ac:dyDescent="0.2">
      <c r="A400" s="1" t="s">
        <v>847</v>
      </c>
      <c r="B400" s="2" t="s">
        <v>1408</v>
      </c>
      <c r="C400" s="3">
        <v>-64.052287581699304</v>
      </c>
      <c r="D400" s="2">
        <v>-21.382999999999999</v>
      </c>
      <c r="E400" s="2">
        <v>36.318182</v>
      </c>
      <c r="F400" s="4">
        <v>0.48199999999999998</v>
      </c>
      <c r="G400" s="4">
        <v>2.6644720324012199</v>
      </c>
      <c r="H400" s="2">
        <v>1.4339999999999999</v>
      </c>
      <c r="I400" s="4">
        <v>8.5999999999999993E-2</v>
      </c>
      <c r="J400" s="4" t="s">
        <v>1408</v>
      </c>
      <c r="K400" s="4">
        <v>0.86659399999999998</v>
      </c>
      <c r="L400" s="4" t="s">
        <v>1408</v>
      </c>
      <c r="N400" s="5" t="s">
        <v>1408</v>
      </c>
      <c r="O400" s="5">
        <v>262388</v>
      </c>
      <c r="P400" s="6" t="e">
        <v>#VALUE!</v>
      </c>
      <c r="Q400" s="1"/>
      <c r="R400" s="7" t="e">
        <f ca="1">_xll.SNL.Clients.Office.Excel.Functions.SPG(A400, "SP_TOTAL_DEBT", "LTM")</f>
        <v>#NAME?</v>
      </c>
      <c r="S400" s="8" t="e">
        <f ca="1">_xll.SNL.Clients.Office.Excel.Functions.SPG(A400, "SP_DEBT_TO_EQUITY", "LTM")</f>
        <v>#NAME?</v>
      </c>
      <c r="U400" s="9" t="e">
        <f t="shared" ca="1" si="6"/>
        <v>#VALUE!</v>
      </c>
      <c r="Y400" s="1"/>
      <c r="Z400" s="1"/>
      <c r="AA400" s="10"/>
      <c r="AB400" s="1" t="s">
        <v>848</v>
      </c>
      <c r="AC400" s="1" t="s">
        <v>174</v>
      </c>
      <c r="AD400" s="10">
        <v>8638.53769096</v>
      </c>
      <c r="AE400" s="1" t="s">
        <v>25</v>
      </c>
    </row>
    <row r="401" spans="1:31" x14ac:dyDescent="0.2">
      <c r="A401" s="1" t="s">
        <v>849</v>
      </c>
      <c r="B401" s="2" t="s">
        <v>1408</v>
      </c>
      <c r="C401" s="3" t="s">
        <v>1408</v>
      </c>
      <c r="D401" s="2">
        <v>-19.495999999999999</v>
      </c>
      <c r="E401" s="2">
        <v>3.848004</v>
      </c>
      <c r="F401" s="4">
        <v>1.8480000000000001</v>
      </c>
      <c r="G401" s="4">
        <v>14.6781060474034</v>
      </c>
      <c r="H401" s="2">
        <v>14.367000000000001</v>
      </c>
      <c r="I401" s="4">
        <v>2.5999999999999999E-2</v>
      </c>
      <c r="J401" s="4">
        <v>40.429009897725898</v>
      </c>
      <c r="K401" s="4">
        <v>0.94543999999999995</v>
      </c>
      <c r="L401" s="4" t="s">
        <v>1408</v>
      </c>
      <c r="N401" s="5" t="s">
        <v>1408</v>
      </c>
      <c r="O401" s="5">
        <v>12255242</v>
      </c>
      <c r="P401" s="6" t="e">
        <v>#VALUE!</v>
      </c>
      <c r="Q401" s="1"/>
      <c r="R401" s="7" t="e">
        <f ca="1">_xll.SNL.Clients.Office.Excel.Functions.SPG(A401, "SP_TOTAL_DEBT", "LTM")</f>
        <v>#NAME?</v>
      </c>
      <c r="S401" s="8" t="e">
        <f ca="1">_xll.SNL.Clients.Office.Excel.Functions.SPG(A401, "SP_DEBT_TO_EQUITY", "LTM")</f>
        <v>#NAME?</v>
      </c>
      <c r="U401" s="9" t="e">
        <f t="shared" ca="1" si="6"/>
        <v>#VALUE!</v>
      </c>
      <c r="Y401" s="1"/>
      <c r="Z401" s="1"/>
      <c r="AA401" s="10"/>
      <c r="AB401" s="1" t="s">
        <v>850</v>
      </c>
      <c r="AC401" s="1" t="s">
        <v>174</v>
      </c>
      <c r="AD401" s="10">
        <v>326.84729899717098</v>
      </c>
      <c r="AE401" s="1" t="s">
        <v>42</v>
      </c>
    </row>
    <row r="402" spans="1:31" x14ac:dyDescent="0.2">
      <c r="A402" s="1" t="s">
        <v>851</v>
      </c>
      <c r="B402" s="2">
        <v>-1.962</v>
      </c>
      <c r="C402" s="3" t="s">
        <v>1409</v>
      </c>
      <c r="D402" s="2">
        <v>-5.7670000000000003</v>
      </c>
      <c r="E402" s="2" t="s">
        <v>1409</v>
      </c>
      <c r="F402" s="4">
        <v>-0.185</v>
      </c>
      <c r="G402" s="4">
        <v>-2.66748850356946</v>
      </c>
      <c r="H402" s="2">
        <v>16.315000000000001</v>
      </c>
      <c r="I402" s="4">
        <v>9.8000000000000004E-2</v>
      </c>
      <c r="J402" s="4" t="s">
        <v>1408</v>
      </c>
      <c r="K402" s="4">
        <v>0.70805099999999999</v>
      </c>
      <c r="L402" s="4" t="s">
        <v>1409</v>
      </c>
      <c r="N402" s="5">
        <v>77381.125</v>
      </c>
      <c r="O402" s="5">
        <v>-11521</v>
      </c>
      <c r="P402" s="6">
        <v>-6.7165285131499006</v>
      </c>
      <c r="Q402" s="1"/>
      <c r="R402" s="7" t="e">
        <f ca="1">_xll.SNL.Clients.Office.Excel.Functions.SPG(A402, "SP_TOTAL_DEBT", "LTM")</f>
        <v>#NAME?</v>
      </c>
      <c r="S402" s="8" t="e">
        <f ca="1">_xll.SNL.Clients.Office.Excel.Functions.SPG(A402, "SP_DEBT_TO_EQUITY", "LTM")</f>
        <v>#NAME?</v>
      </c>
      <c r="U402" s="9" t="e">
        <f t="shared" ca="1" si="6"/>
        <v>#NAME?</v>
      </c>
      <c r="Y402" s="1"/>
      <c r="Z402" s="1"/>
      <c r="AA402" s="10"/>
      <c r="AB402" s="1" t="s">
        <v>852</v>
      </c>
      <c r="AC402" s="1" t="s">
        <v>60</v>
      </c>
      <c r="AD402" s="10">
        <v>353.44461100000001</v>
      </c>
      <c r="AE402" s="1" t="s">
        <v>25</v>
      </c>
    </row>
    <row r="403" spans="1:31" x14ac:dyDescent="0.2">
      <c r="A403" s="1" t="s">
        <v>853</v>
      </c>
      <c r="B403" s="2" t="s">
        <v>1408</v>
      </c>
      <c r="C403" s="3">
        <v>-33.684210526315802</v>
      </c>
      <c r="D403" s="2">
        <v>-19.227</v>
      </c>
      <c r="E403" s="2">
        <v>23.114187000000001</v>
      </c>
      <c r="F403" s="4">
        <v>0.43</v>
      </c>
      <c r="G403" s="4">
        <v>4.6622067771129103</v>
      </c>
      <c r="H403" s="2" t="s">
        <v>1408</v>
      </c>
      <c r="I403" s="4" t="s">
        <v>1408</v>
      </c>
      <c r="J403" s="4">
        <v>28.543183194594501</v>
      </c>
      <c r="K403" s="4">
        <v>0.49077999999999999</v>
      </c>
      <c r="L403" s="4" t="s">
        <v>1408</v>
      </c>
      <c r="N403" s="5" t="s">
        <v>1408</v>
      </c>
      <c r="O403" s="5">
        <v>18340</v>
      </c>
      <c r="P403" s="6" t="e">
        <v>#VALUE!</v>
      </c>
      <c r="Q403" s="1"/>
      <c r="R403" s="7" t="e">
        <f ca="1">_xll.SNL.Clients.Office.Excel.Functions.SPG(A403, "SP_TOTAL_DEBT", "LTM")</f>
        <v>#NAME?</v>
      </c>
      <c r="S403" s="8" t="e">
        <f ca="1">_xll.SNL.Clients.Office.Excel.Functions.SPG(A403, "SP_DEBT_TO_EQUITY", "LTM")</f>
        <v>#NAME?</v>
      </c>
      <c r="U403" s="9" t="e">
        <f t="shared" ca="1" si="6"/>
        <v>#VALUE!</v>
      </c>
      <c r="Y403" s="1"/>
      <c r="Z403" s="1"/>
      <c r="AA403" s="10"/>
      <c r="AB403" s="1" t="s">
        <v>854</v>
      </c>
      <c r="AC403" s="1" t="s">
        <v>34</v>
      </c>
      <c r="AD403" s="10">
        <v>449.93029629</v>
      </c>
      <c r="AE403" s="1" t="s">
        <v>25</v>
      </c>
    </row>
    <row r="404" spans="1:31" x14ac:dyDescent="0.2">
      <c r="A404" s="1" t="s">
        <v>855</v>
      </c>
      <c r="B404" s="2">
        <v>2.5999999999999999E-2</v>
      </c>
      <c r="C404" s="3" t="s">
        <v>1409</v>
      </c>
      <c r="D404" s="2">
        <v>-11.343999999999999</v>
      </c>
      <c r="E404" s="2" t="s">
        <v>1409</v>
      </c>
      <c r="F404" s="4">
        <v>8.0000000000000002E-3</v>
      </c>
      <c r="G404" s="4">
        <v>-10.775516664852899</v>
      </c>
      <c r="H404" s="2">
        <v>0.88900000000000001</v>
      </c>
      <c r="I404" s="4">
        <v>0.379</v>
      </c>
      <c r="J404" s="4" t="s">
        <v>1408</v>
      </c>
      <c r="K404" s="4">
        <v>1.4758800000000001</v>
      </c>
      <c r="L404" s="4">
        <v>86.268141</v>
      </c>
      <c r="N404" s="5">
        <v>-2049800</v>
      </c>
      <c r="O404" s="5">
        <v>-272300</v>
      </c>
      <c r="P404" s="6">
        <v>7.5277267719427101</v>
      </c>
      <c r="Q404" s="1"/>
      <c r="R404" s="7" t="e">
        <f ca="1">_xll.SNL.Clients.Office.Excel.Functions.SPG(A404, "SP_TOTAL_DEBT", "LTM")</f>
        <v>#NAME?</v>
      </c>
      <c r="S404" s="8" t="e">
        <f ca="1">_xll.SNL.Clients.Office.Excel.Functions.SPG(A404, "SP_DEBT_TO_EQUITY", "LTM")</f>
        <v>#NAME?</v>
      </c>
      <c r="U404" s="9" t="e">
        <f t="shared" ca="1" si="6"/>
        <v>#NAME?</v>
      </c>
      <c r="Y404" s="1"/>
      <c r="Z404" s="1"/>
      <c r="AA404" s="10"/>
      <c r="AB404" s="1" t="s">
        <v>856</v>
      </c>
      <c r="AC404" s="1" t="s">
        <v>95</v>
      </c>
      <c r="AD404" s="10">
        <v>3845.2288800000001</v>
      </c>
      <c r="AE404" s="1" t="s">
        <v>25</v>
      </c>
    </row>
    <row r="405" spans="1:31" x14ac:dyDescent="0.2">
      <c r="A405" s="1" t="s">
        <v>857</v>
      </c>
      <c r="B405" s="2" t="s">
        <v>1408</v>
      </c>
      <c r="C405" s="3">
        <v>-54.1666666666667</v>
      </c>
      <c r="D405" s="2">
        <v>-12.590999999999999</v>
      </c>
      <c r="E405" s="2">
        <v>15.741789000000001</v>
      </c>
      <c r="F405" s="4">
        <v>0.51</v>
      </c>
      <c r="G405" s="4">
        <v>6.9663568907139304</v>
      </c>
      <c r="H405" s="2" t="s">
        <v>1408</v>
      </c>
      <c r="I405" s="4" t="s">
        <v>1408</v>
      </c>
      <c r="J405" s="4" t="s">
        <v>1408</v>
      </c>
      <c r="K405" s="4">
        <v>1.072614</v>
      </c>
      <c r="L405" s="4" t="s">
        <v>1408</v>
      </c>
      <c r="N405" s="5" t="s">
        <v>1408</v>
      </c>
      <c r="O405" s="5">
        <v>967000</v>
      </c>
      <c r="P405" s="6" t="e">
        <v>#VALUE!</v>
      </c>
      <c r="Q405" s="1"/>
      <c r="R405" s="7" t="e">
        <f ca="1">_xll.SNL.Clients.Office.Excel.Functions.SPG(A405, "SP_TOTAL_DEBT", "LTM")</f>
        <v>#NAME?</v>
      </c>
      <c r="S405" s="8" t="e">
        <f ca="1">_xll.SNL.Clients.Office.Excel.Functions.SPG(A405, "SP_DEBT_TO_EQUITY", "LTM")</f>
        <v>#NAME?</v>
      </c>
      <c r="U405" s="9" t="e">
        <f t="shared" ca="1" si="6"/>
        <v>#VALUE!</v>
      </c>
      <c r="Y405" s="1"/>
      <c r="Z405" s="1"/>
      <c r="AA405" s="10"/>
      <c r="AB405" s="1" t="s">
        <v>858</v>
      </c>
      <c r="AC405" s="1" t="s">
        <v>34</v>
      </c>
      <c r="AD405" s="10">
        <v>13608.27492</v>
      </c>
      <c r="AE405" s="1" t="s">
        <v>25</v>
      </c>
    </row>
    <row r="406" spans="1:31" x14ac:dyDescent="0.2">
      <c r="A406" s="1" t="s">
        <v>859</v>
      </c>
      <c r="B406" s="2">
        <v>14.840999999999999</v>
      </c>
      <c r="C406" s="3">
        <v>3.92749244712991</v>
      </c>
      <c r="D406" s="2">
        <v>28.044</v>
      </c>
      <c r="E406" s="2">
        <v>34.350876999999997</v>
      </c>
      <c r="F406" s="4">
        <v>7.3639999999999999</v>
      </c>
      <c r="G406" s="4">
        <v>22.025991428476502</v>
      </c>
      <c r="H406" s="2">
        <v>0.247</v>
      </c>
      <c r="I406" s="4">
        <v>0.373</v>
      </c>
      <c r="J406" s="4" t="s">
        <v>1408</v>
      </c>
      <c r="K406" s="4">
        <v>10.068985</v>
      </c>
      <c r="L406" s="4">
        <v>26.557988000000002</v>
      </c>
      <c r="N406" s="5">
        <v>799457.375</v>
      </c>
      <c r="O406" s="5">
        <v>271955</v>
      </c>
      <c r="P406" s="6">
        <v>2.9396678678457833</v>
      </c>
      <c r="Q406" s="1"/>
      <c r="R406" s="7" t="e">
        <f ca="1">_xll.SNL.Clients.Office.Excel.Functions.SPG(A406, "SP_TOTAL_DEBT", "LTM")</f>
        <v>#NAME?</v>
      </c>
      <c r="S406" s="8" t="e">
        <f ca="1">_xll.SNL.Clients.Office.Excel.Functions.SPG(A406, "SP_DEBT_TO_EQUITY", "LTM")</f>
        <v>#NAME?</v>
      </c>
      <c r="U406" s="9" t="e">
        <f t="shared" ca="1" si="6"/>
        <v>#NAME?</v>
      </c>
      <c r="Y406" s="1"/>
      <c r="Z406" s="1"/>
      <c r="AA406" s="10"/>
      <c r="AB406" s="1" t="s">
        <v>860</v>
      </c>
      <c r="AC406" s="1" t="s">
        <v>95</v>
      </c>
      <c r="AD406" s="10">
        <v>9213.0756727600001</v>
      </c>
      <c r="AE406" s="1" t="s">
        <v>25</v>
      </c>
    </row>
    <row r="407" spans="1:31" x14ac:dyDescent="0.2">
      <c r="A407" s="1" t="s">
        <v>861</v>
      </c>
      <c r="B407" s="2" t="s">
        <v>1408</v>
      </c>
      <c r="C407" s="3" t="s">
        <v>1409</v>
      </c>
      <c r="D407" s="2">
        <v>-69.671999999999997</v>
      </c>
      <c r="E407" s="2" t="s">
        <v>1409</v>
      </c>
      <c r="F407" s="4">
        <v>-0.41199999999999998</v>
      </c>
      <c r="G407" s="4">
        <v>-2.1411616463075802</v>
      </c>
      <c r="H407" s="2">
        <v>110.934</v>
      </c>
      <c r="I407" s="4">
        <v>4.0000000000000001E-3</v>
      </c>
      <c r="J407" s="4" t="s">
        <v>1408</v>
      </c>
      <c r="K407" s="4">
        <v>0.58080399999999999</v>
      </c>
      <c r="L407" s="4" t="s">
        <v>1408</v>
      </c>
      <c r="N407" s="5" t="s">
        <v>1408</v>
      </c>
      <c r="O407" s="5">
        <v>-31657</v>
      </c>
      <c r="P407" s="6" t="e">
        <v>#VALUE!</v>
      </c>
      <c r="Q407" s="1"/>
      <c r="R407" s="7" t="e">
        <f ca="1">_xll.SNL.Clients.Office.Excel.Functions.SPG(A407, "SP_TOTAL_DEBT", "LTM")</f>
        <v>#NAME?</v>
      </c>
      <c r="S407" s="8" t="e">
        <f ca="1">_xll.SNL.Clients.Office.Excel.Functions.SPG(A407, "SP_DEBT_TO_EQUITY", "LTM")</f>
        <v>#NAME?</v>
      </c>
      <c r="U407" s="9" t="e">
        <f t="shared" ca="1" si="6"/>
        <v>#VALUE!</v>
      </c>
      <c r="Y407" s="1"/>
      <c r="Z407" s="1"/>
      <c r="AA407" s="10"/>
      <c r="AB407" s="1" t="s">
        <v>862</v>
      </c>
      <c r="AC407" s="1" t="s">
        <v>65</v>
      </c>
      <c r="AD407" s="10">
        <v>848.4016464</v>
      </c>
      <c r="AE407" s="1" t="s">
        <v>25</v>
      </c>
    </row>
    <row r="408" spans="1:31" x14ac:dyDescent="0.2">
      <c r="A408" s="1" t="s">
        <v>863</v>
      </c>
      <c r="B408" s="2" t="s">
        <v>1408</v>
      </c>
      <c r="C408" s="3">
        <v>151.111111111111</v>
      </c>
      <c r="D408" s="2">
        <v>87.674999999999997</v>
      </c>
      <c r="E408" s="2">
        <v>9.5225460000000002</v>
      </c>
      <c r="F408" s="4">
        <v>2.7389999999999999</v>
      </c>
      <c r="G408" s="4">
        <v>10.9705271401172</v>
      </c>
      <c r="H408" s="2">
        <v>9.3000000000000007</v>
      </c>
      <c r="I408" s="4">
        <v>5.6000000000000001E-2</v>
      </c>
      <c r="J408" s="4" t="s">
        <v>1408</v>
      </c>
      <c r="K408" s="4">
        <v>0.88817400000000002</v>
      </c>
      <c r="L408" s="4" t="s">
        <v>1408</v>
      </c>
      <c r="N408" s="5" t="s">
        <v>1408</v>
      </c>
      <c r="O408" s="5">
        <v>155731</v>
      </c>
      <c r="P408" s="6" t="e">
        <v>#VALUE!</v>
      </c>
      <c r="Q408" s="1"/>
      <c r="R408" s="7" t="e">
        <f ca="1">_xll.SNL.Clients.Office.Excel.Functions.SPG(A408, "SP_TOTAL_DEBT", "LTM")</f>
        <v>#NAME?</v>
      </c>
      <c r="S408" s="8" t="e">
        <f ca="1">_xll.SNL.Clients.Office.Excel.Functions.SPG(A408, "SP_DEBT_TO_EQUITY", "LTM")</f>
        <v>#NAME?</v>
      </c>
      <c r="U408" s="9" t="e">
        <f t="shared" ca="1" si="6"/>
        <v>#VALUE!</v>
      </c>
      <c r="Y408" s="1"/>
      <c r="Z408" s="1"/>
      <c r="AA408" s="10"/>
      <c r="AB408" s="1" t="s">
        <v>864</v>
      </c>
      <c r="AC408" s="1" t="s">
        <v>65</v>
      </c>
      <c r="AD408" s="10">
        <v>1387.1447607699999</v>
      </c>
      <c r="AE408" s="1" t="s">
        <v>25</v>
      </c>
    </row>
    <row r="409" spans="1:31" x14ac:dyDescent="0.2">
      <c r="A409" s="1" t="s">
        <v>865</v>
      </c>
      <c r="B409" s="2" t="s">
        <v>1408</v>
      </c>
      <c r="C409" s="3">
        <v>-20.858895705521501</v>
      </c>
      <c r="D409" s="2">
        <v>-11.569000000000001</v>
      </c>
      <c r="E409" s="2">
        <v>9.5736430000000006</v>
      </c>
      <c r="F409" s="4">
        <v>0.77300000000000002</v>
      </c>
      <c r="G409" s="4">
        <v>7.4815301380118902</v>
      </c>
      <c r="H409" s="2" t="s">
        <v>1408</v>
      </c>
      <c r="I409" s="4" t="s">
        <v>1408</v>
      </c>
      <c r="J409" s="4">
        <v>36.323326448910102</v>
      </c>
      <c r="K409" s="4">
        <v>0.68679800000000002</v>
      </c>
      <c r="L409" s="4" t="s">
        <v>1408</v>
      </c>
      <c r="N409" s="5" t="s">
        <v>1408</v>
      </c>
      <c r="O409" s="5">
        <v>84740</v>
      </c>
      <c r="P409" s="6" t="e">
        <v>#VALUE!</v>
      </c>
      <c r="Q409" s="1"/>
      <c r="R409" s="7" t="e">
        <f ca="1">_xll.SNL.Clients.Office.Excel.Functions.SPG(A409, "SP_TOTAL_DEBT", "LTM")</f>
        <v>#NAME?</v>
      </c>
      <c r="S409" s="8" t="e">
        <f ca="1">_xll.SNL.Clients.Office.Excel.Functions.SPG(A409, "SP_DEBT_TO_EQUITY", "LTM")</f>
        <v>#NAME?</v>
      </c>
      <c r="U409" s="9" t="e">
        <f t="shared" ca="1" si="6"/>
        <v>#VALUE!</v>
      </c>
      <c r="Y409" s="1"/>
      <c r="Z409" s="1"/>
      <c r="AA409" s="10"/>
      <c r="AB409" s="1" t="s">
        <v>866</v>
      </c>
      <c r="AC409" s="1" t="s">
        <v>34</v>
      </c>
      <c r="AD409" s="10">
        <v>864.25235474999999</v>
      </c>
      <c r="AE409" s="1" t="s">
        <v>25</v>
      </c>
    </row>
    <row r="410" spans="1:31" x14ac:dyDescent="0.2">
      <c r="A410" s="1" t="s">
        <v>867</v>
      </c>
      <c r="B410" s="2" t="s">
        <v>1408</v>
      </c>
      <c r="C410" s="3">
        <v>-9.6534653465346594</v>
      </c>
      <c r="D410" s="2">
        <v>2.4089999999999998</v>
      </c>
      <c r="E410" s="2">
        <v>17.545204999999999</v>
      </c>
      <c r="F410" s="4">
        <v>1.4470000000000001</v>
      </c>
      <c r="G410" s="4">
        <v>15.9286999271235</v>
      </c>
      <c r="H410" s="2" t="s">
        <v>1408</v>
      </c>
      <c r="I410" s="4" t="s">
        <v>1408</v>
      </c>
      <c r="J410" s="4">
        <v>50.750982885735901</v>
      </c>
      <c r="K410" s="4">
        <v>2.5066540000000002</v>
      </c>
      <c r="L410" s="4" t="s">
        <v>1408</v>
      </c>
      <c r="N410" s="5" t="s">
        <v>1408</v>
      </c>
      <c r="O410" s="5">
        <v>93767</v>
      </c>
      <c r="P410" s="6" t="e">
        <v>#VALUE!</v>
      </c>
      <c r="Q410" s="1"/>
      <c r="R410" s="7" t="e">
        <f ca="1">_xll.SNL.Clients.Office.Excel.Functions.SPG(A410, "SP_TOTAL_DEBT", "LTM")</f>
        <v>#NAME?</v>
      </c>
      <c r="S410" s="8" t="e">
        <f ca="1">_xll.SNL.Clients.Office.Excel.Functions.SPG(A410, "SP_DEBT_TO_EQUITY", "LTM")</f>
        <v>#NAME?</v>
      </c>
      <c r="U410" s="9" t="e">
        <f t="shared" ca="1" si="6"/>
        <v>#VALUE!</v>
      </c>
      <c r="Y410" s="1"/>
      <c r="Z410" s="1"/>
      <c r="AA410" s="10"/>
      <c r="AB410" s="1" t="s">
        <v>868</v>
      </c>
      <c r="AC410" s="1" t="s">
        <v>34</v>
      </c>
      <c r="AD410" s="10">
        <v>1702.8306993599999</v>
      </c>
      <c r="AE410" s="1" t="s">
        <v>25</v>
      </c>
    </row>
    <row r="411" spans="1:31" x14ac:dyDescent="0.2">
      <c r="A411" s="1" t="s">
        <v>869</v>
      </c>
      <c r="B411" s="2">
        <v>1.038</v>
      </c>
      <c r="C411" s="3" t="s">
        <v>1409</v>
      </c>
      <c r="D411" s="2">
        <v>35.122</v>
      </c>
      <c r="E411" s="2">
        <v>15.064854</v>
      </c>
      <c r="F411" s="4">
        <v>2.6240000000000001</v>
      </c>
      <c r="G411" s="4">
        <v>-1.1318412501369199</v>
      </c>
      <c r="H411" s="2" t="s">
        <v>1409</v>
      </c>
      <c r="I411" s="4">
        <v>0.308</v>
      </c>
      <c r="J411" s="4" t="s">
        <v>1408</v>
      </c>
      <c r="K411" s="4">
        <v>1.2813330000000001</v>
      </c>
      <c r="L411" s="4">
        <v>9.9208479999999994</v>
      </c>
      <c r="N411" s="5">
        <v>-69262.5</v>
      </c>
      <c r="O411" s="5">
        <v>81500</v>
      </c>
      <c r="P411" s="6">
        <v>-0.8498466257668712</v>
      </c>
      <c r="Q411" s="1"/>
      <c r="R411" s="7" t="e">
        <f ca="1">_xll.SNL.Clients.Office.Excel.Functions.SPG(A411, "SP_TOTAL_DEBT", "LTM")</f>
        <v>#NAME?</v>
      </c>
      <c r="S411" s="8" t="e">
        <f ca="1">_xll.SNL.Clients.Office.Excel.Functions.SPG(A411, "SP_DEBT_TO_EQUITY", "LTM")</f>
        <v>#NAME?</v>
      </c>
      <c r="U411" s="9" t="e">
        <f t="shared" ca="1" si="6"/>
        <v>#NAME?</v>
      </c>
      <c r="Y411" s="1"/>
      <c r="Z411" s="1"/>
      <c r="AA411" s="10"/>
      <c r="AB411" s="1" t="s">
        <v>870</v>
      </c>
      <c r="AC411" s="1" t="s">
        <v>95</v>
      </c>
      <c r="AD411" s="10">
        <v>1808.95296052046</v>
      </c>
      <c r="AE411" s="1" t="s">
        <v>25</v>
      </c>
    </row>
    <row r="412" spans="1:31" x14ac:dyDescent="0.2">
      <c r="A412" s="1" t="s">
        <v>871</v>
      </c>
      <c r="B412" s="2" t="s">
        <v>1408</v>
      </c>
      <c r="C412" s="3">
        <v>-21.303515962807801</v>
      </c>
      <c r="D412" s="2">
        <v>-1.377</v>
      </c>
      <c r="E412" s="2">
        <v>6.7609250000000003</v>
      </c>
      <c r="F412" s="4">
        <v>0.36</v>
      </c>
      <c r="G412" s="4">
        <v>6.4122580297631</v>
      </c>
      <c r="H412" s="2" t="s">
        <v>1408</v>
      </c>
      <c r="I412" s="4" t="s">
        <v>1408</v>
      </c>
      <c r="J412" s="4">
        <v>20.517888660276402</v>
      </c>
      <c r="K412" s="4">
        <v>0.41943799999999998</v>
      </c>
      <c r="L412" s="4" t="s">
        <v>1408</v>
      </c>
      <c r="N412" s="5" t="s">
        <v>1408</v>
      </c>
      <c r="O412" s="5">
        <v>181087</v>
      </c>
      <c r="P412" s="6" t="e">
        <v>#VALUE!</v>
      </c>
      <c r="Q412" s="1"/>
      <c r="R412" s="7" t="e">
        <f ca="1">_xll.SNL.Clients.Office.Excel.Functions.SPG(A412, "SP_TOTAL_DEBT", "LTM")</f>
        <v>#NAME?</v>
      </c>
      <c r="S412" s="8" t="e">
        <f ca="1">_xll.SNL.Clients.Office.Excel.Functions.SPG(A412, "SP_DEBT_TO_EQUITY", "LTM")</f>
        <v>#NAME?</v>
      </c>
      <c r="U412" s="9" t="e">
        <f t="shared" ca="1" si="6"/>
        <v>#VALUE!</v>
      </c>
      <c r="Y412" s="1"/>
      <c r="Z412" s="1"/>
      <c r="AA412" s="10"/>
      <c r="AB412" s="1" t="s">
        <v>872</v>
      </c>
      <c r="AC412" s="1" t="s">
        <v>34</v>
      </c>
      <c r="AD412" s="10">
        <v>865.51723123724696</v>
      </c>
      <c r="AE412" s="1" t="s">
        <v>25</v>
      </c>
    </row>
    <row r="413" spans="1:31" x14ac:dyDescent="0.2">
      <c r="A413" s="1" t="s">
        <v>873</v>
      </c>
      <c r="B413" s="2" t="s">
        <v>1408</v>
      </c>
      <c r="C413" s="3" t="s">
        <v>1409</v>
      </c>
      <c r="D413" s="2">
        <v>-9.2919999999999998</v>
      </c>
      <c r="E413" s="2" t="s">
        <v>1409</v>
      </c>
      <c r="F413" s="4">
        <v>-1.093</v>
      </c>
      <c r="G413" s="4">
        <v>-11.9225151977897</v>
      </c>
      <c r="H413" s="2">
        <v>2.5430000000000001</v>
      </c>
      <c r="I413" s="4">
        <v>0.48</v>
      </c>
      <c r="J413" s="4" t="s">
        <v>1408</v>
      </c>
      <c r="K413" s="4">
        <v>8.3798169999999992</v>
      </c>
      <c r="L413" s="4" t="s">
        <v>1408</v>
      </c>
      <c r="N413" s="5" t="s">
        <v>1408</v>
      </c>
      <c r="O413" s="5">
        <v>-57307</v>
      </c>
      <c r="P413" s="6" t="e">
        <v>#VALUE!</v>
      </c>
      <c r="Q413" s="1"/>
      <c r="R413" s="7" t="e">
        <f ca="1">_xll.SNL.Clients.Office.Excel.Functions.SPG(A413, "SP_TOTAL_DEBT", "LTM")</f>
        <v>#NAME?</v>
      </c>
      <c r="S413" s="8" t="e">
        <f ca="1">_xll.SNL.Clients.Office.Excel.Functions.SPG(A413, "SP_DEBT_TO_EQUITY", "LTM")</f>
        <v>#NAME?</v>
      </c>
      <c r="U413" s="9" t="e">
        <f t="shared" ca="1" si="6"/>
        <v>#VALUE!</v>
      </c>
      <c r="Y413" s="1"/>
      <c r="Z413" s="1"/>
      <c r="AA413" s="10"/>
      <c r="AB413" s="1" t="s">
        <v>874</v>
      </c>
      <c r="AC413" s="1" t="s">
        <v>174</v>
      </c>
      <c r="AD413" s="10">
        <v>3407.4316325999998</v>
      </c>
      <c r="AE413" s="1" t="s">
        <v>25</v>
      </c>
    </row>
    <row r="414" spans="1:31" x14ac:dyDescent="0.2">
      <c r="A414" s="1" t="s">
        <v>875</v>
      </c>
      <c r="B414" s="2">
        <v>-18.719000000000001</v>
      </c>
      <c r="C414" s="3" t="s">
        <v>1409</v>
      </c>
      <c r="D414" s="2">
        <v>99.921999999999997</v>
      </c>
      <c r="E414" s="2" t="s">
        <v>1409</v>
      </c>
      <c r="F414" s="4">
        <v>-9.3330000000000002</v>
      </c>
      <c r="G414" s="4">
        <v>-33.124774060788098</v>
      </c>
      <c r="H414" s="2">
        <v>1.448</v>
      </c>
      <c r="I414" s="4">
        <v>0.24</v>
      </c>
      <c r="J414" s="4" t="s">
        <v>1408</v>
      </c>
      <c r="K414" s="4">
        <v>1.524332</v>
      </c>
      <c r="L414" s="4" t="s">
        <v>1409</v>
      </c>
      <c r="N414" s="5">
        <v>-8212.5</v>
      </c>
      <c r="O414" s="5">
        <v>-258200</v>
      </c>
      <c r="P414" s="6">
        <v>3.1806738962044924E-2</v>
      </c>
      <c r="Q414" s="1"/>
      <c r="R414" s="7" t="e">
        <f ca="1">_xll.SNL.Clients.Office.Excel.Functions.SPG(A414, "SP_TOTAL_DEBT", "LTM")</f>
        <v>#NAME?</v>
      </c>
      <c r="S414" s="8" t="e">
        <f ca="1">_xll.SNL.Clients.Office.Excel.Functions.SPG(A414, "SP_DEBT_TO_EQUITY", "LTM")</f>
        <v>#NAME?</v>
      </c>
      <c r="U414" s="9" t="e">
        <f t="shared" ca="1" si="6"/>
        <v>#NAME?</v>
      </c>
      <c r="Y414" s="1"/>
      <c r="Z414" s="1"/>
      <c r="AA414" s="10"/>
      <c r="AB414" s="1" t="s">
        <v>876</v>
      </c>
      <c r="AC414" s="1" t="s">
        <v>448</v>
      </c>
      <c r="AD414" s="10">
        <v>1106.19086158</v>
      </c>
      <c r="AE414" s="1" t="s">
        <v>25</v>
      </c>
    </row>
    <row r="415" spans="1:31" x14ac:dyDescent="0.2">
      <c r="A415" s="1" t="s">
        <v>877</v>
      </c>
      <c r="B415" s="2">
        <v>15.782999999999999</v>
      </c>
      <c r="C415" s="3">
        <v>-87.096774193548399</v>
      </c>
      <c r="D415" s="2">
        <v>-10.579000000000001</v>
      </c>
      <c r="E415" s="2">
        <v>24.178273000000001</v>
      </c>
      <c r="F415" s="4">
        <v>2.42</v>
      </c>
      <c r="G415" s="4">
        <v>3.2344955263925699</v>
      </c>
      <c r="H415" s="2" t="s">
        <v>1408</v>
      </c>
      <c r="I415" s="4">
        <v>0.13500000000000001</v>
      </c>
      <c r="J415" s="4">
        <v>6.3168863973611504</v>
      </c>
      <c r="K415" s="4">
        <v>0.765567</v>
      </c>
      <c r="L415" s="4" t="s">
        <v>1409</v>
      </c>
      <c r="N415" s="5" t="s">
        <v>1408</v>
      </c>
      <c r="O415" s="5">
        <v>38939</v>
      </c>
      <c r="P415" s="6" t="e">
        <v>#VALUE!</v>
      </c>
      <c r="Q415" s="1"/>
      <c r="R415" s="7" t="e">
        <f ca="1">_xll.SNL.Clients.Office.Excel.Functions.SPG(A415, "SP_TOTAL_DEBT", "LTM")</f>
        <v>#NAME?</v>
      </c>
      <c r="S415" s="8" t="e">
        <f ca="1">_xll.SNL.Clients.Office.Excel.Functions.SPG(A415, "SP_DEBT_TO_EQUITY", "LTM")</f>
        <v>#NAME?</v>
      </c>
      <c r="U415" s="9" t="e">
        <f t="shared" ca="1" si="6"/>
        <v>#VALUE!</v>
      </c>
      <c r="Y415" s="1"/>
      <c r="Z415" s="1"/>
      <c r="AA415" s="10"/>
      <c r="AB415" s="1" t="s">
        <v>878</v>
      </c>
      <c r="AC415" s="1" t="s">
        <v>82</v>
      </c>
      <c r="AD415" s="10">
        <v>995.90363004000005</v>
      </c>
      <c r="AE415" s="1" t="s">
        <v>25</v>
      </c>
    </row>
    <row r="416" spans="1:31" x14ac:dyDescent="0.2">
      <c r="A416" s="1" t="s">
        <v>879</v>
      </c>
      <c r="B416" s="2">
        <v>-1.5289999999999999</v>
      </c>
      <c r="C416" s="3" t="s">
        <v>1409</v>
      </c>
      <c r="D416" s="2">
        <v>-10.333</v>
      </c>
      <c r="E416" s="2" t="s">
        <v>1409</v>
      </c>
      <c r="F416" s="4">
        <v>0.112</v>
      </c>
      <c r="G416" s="4">
        <v>-61.332178166531598</v>
      </c>
      <c r="H416" s="2">
        <v>3.7559999999999998</v>
      </c>
      <c r="I416" s="4">
        <v>0.70699999999999996</v>
      </c>
      <c r="J416" s="4" t="s">
        <v>1408</v>
      </c>
      <c r="K416" s="4">
        <v>3.8135059999999998</v>
      </c>
      <c r="L416" s="4">
        <v>33.688116000000001</v>
      </c>
      <c r="N416" s="5">
        <v>74377</v>
      </c>
      <c r="O416" s="5">
        <v>-145527</v>
      </c>
      <c r="P416" s="6">
        <v>-0.5110872896438462</v>
      </c>
      <c r="Q416" s="1"/>
      <c r="R416" s="7" t="e">
        <f ca="1">_xll.SNL.Clients.Office.Excel.Functions.SPG(A416, "SP_TOTAL_DEBT", "LTM")</f>
        <v>#NAME?</v>
      </c>
      <c r="S416" s="8" t="e">
        <f ca="1">_xll.SNL.Clients.Office.Excel.Functions.SPG(A416, "SP_DEBT_TO_EQUITY", "LTM")</f>
        <v>#NAME?</v>
      </c>
      <c r="U416" s="9" t="e">
        <f t="shared" ca="1" si="6"/>
        <v>#NAME?</v>
      </c>
      <c r="Y416" s="1"/>
      <c r="Z416" s="1"/>
      <c r="AA416" s="10"/>
      <c r="AB416" s="1" t="s">
        <v>880</v>
      </c>
      <c r="AC416" s="1" t="s">
        <v>82</v>
      </c>
      <c r="AD416" s="10">
        <v>420.51009923999999</v>
      </c>
      <c r="AE416" s="1" t="s">
        <v>25</v>
      </c>
    </row>
    <row r="417" spans="1:31" x14ac:dyDescent="0.2">
      <c r="A417" s="1" t="s">
        <v>881</v>
      </c>
      <c r="B417" s="2">
        <v>-5.319</v>
      </c>
      <c r="C417" s="3">
        <v>-61.1010692971075</v>
      </c>
      <c r="D417" s="2">
        <v>-5.5179999999999998</v>
      </c>
      <c r="E417" s="2" t="s">
        <v>1409</v>
      </c>
      <c r="F417" s="4">
        <v>-1.256</v>
      </c>
      <c r="G417" s="4">
        <v>12.798719186306601</v>
      </c>
      <c r="H417" s="2">
        <v>4.4630000000000001</v>
      </c>
      <c r="I417" s="4">
        <v>4.3999999999999997E-2</v>
      </c>
      <c r="J417" s="4" t="s">
        <v>1408</v>
      </c>
      <c r="K417" s="4">
        <v>2.0561180000000001</v>
      </c>
      <c r="L417" s="4" t="s">
        <v>1409</v>
      </c>
      <c r="N417" s="5">
        <v>-6407625</v>
      </c>
      <c r="O417" s="5">
        <v>1295000</v>
      </c>
      <c r="P417" s="6">
        <v>-4.9479729729729733</v>
      </c>
      <c r="Q417" s="1"/>
      <c r="R417" s="7" t="e">
        <f ca="1">_xll.SNL.Clients.Office.Excel.Functions.SPG(A417, "SP_TOTAL_DEBT", "LTM")</f>
        <v>#NAME?</v>
      </c>
      <c r="S417" s="8" t="e">
        <f ca="1">_xll.SNL.Clients.Office.Excel.Functions.SPG(A417, "SP_DEBT_TO_EQUITY", "LTM")</f>
        <v>#NAME?</v>
      </c>
      <c r="U417" s="9" t="e">
        <f t="shared" ca="1" si="6"/>
        <v>#NAME?</v>
      </c>
      <c r="Y417" s="1"/>
      <c r="Z417" s="1"/>
      <c r="AA417" s="10"/>
      <c r="AB417" s="1" t="s">
        <v>882</v>
      </c>
      <c r="AC417" s="1" t="s">
        <v>60</v>
      </c>
      <c r="AD417" s="10">
        <v>4657.2183863999999</v>
      </c>
      <c r="AE417" s="1" t="s">
        <v>25</v>
      </c>
    </row>
    <row r="418" spans="1:31" x14ac:dyDescent="0.2">
      <c r="A418" s="1" t="s">
        <v>883</v>
      </c>
      <c r="B418" s="2" t="s">
        <v>1408</v>
      </c>
      <c r="C418" s="3">
        <v>-58.163265306122497</v>
      </c>
      <c r="D418" s="2">
        <v>-23.068000000000001</v>
      </c>
      <c r="E418" s="2">
        <v>22.359756000000001</v>
      </c>
      <c r="F418" s="4">
        <v>0.7</v>
      </c>
      <c r="G418" s="4">
        <v>8.6593443035000703</v>
      </c>
      <c r="H418" s="2" t="s">
        <v>1408</v>
      </c>
      <c r="I418" s="4" t="s">
        <v>1408</v>
      </c>
      <c r="J418" s="4">
        <v>19.3518979484958</v>
      </c>
      <c r="K418" s="4">
        <v>1.812565</v>
      </c>
      <c r="L418" s="4" t="s">
        <v>1408</v>
      </c>
      <c r="N418" s="5" t="s">
        <v>1408</v>
      </c>
      <c r="O418" s="5">
        <v>73898</v>
      </c>
      <c r="P418" s="6" t="e">
        <v>#VALUE!</v>
      </c>
      <c r="Q418" s="1"/>
      <c r="R418" s="7" t="e">
        <f ca="1">_xll.SNL.Clients.Office.Excel.Functions.SPG(A418, "SP_TOTAL_DEBT", "LTM")</f>
        <v>#NAME?</v>
      </c>
      <c r="S418" s="8" t="e">
        <f ca="1">_xll.SNL.Clients.Office.Excel.Functions.SPG(A418, "SP_DEBT_TO_EQUITY", "LTM")</f>
        <v>#NAME?</v>
      </c>
      <c r="U418" s="9" t="e">
        <f t="shared" ca="1" si="6"/>
        <v>#VALUE!</v>
      </c>
      <c r="Y418" s="1"/>
      <c r="Z418" s="1"/>
      <c r="AA418" s="10"/>
      <c r="AB418" s="1" t="s">
        <v>884</v>
      </c>
      <c r="AC418" s="1" t="s">
        <v>34</v>
      </c>
      <c r="AD418" s="10">
        <v>1622.74476701</v>
      </c>
      <c r="AE418" s="1" t="s">
        <v>25</v>
      </c>
    </row>
    <row r="419" spans="1:31" x14ac:dyDescent="0.2">
      <c r="A419" s="1" t="s">
        <v>885</v>
      </c>
      <c r="B419" s="2" t="s">
        <v>1408</v>
      </c>
      <c r="C419" s="3" t="s">
        <v>1409</v>
      </c>
      <c r="D419" s="2">
        <v>-74.980999999999995</v>
      </c>
      <c r="E419" s="2" t="s">
        <v>1409</v>
      </c>
      <c r="F419" s="4">
        <v>-4.9569999999999999</v>
      </c>
      <c r="G419" s="4">
        <v>-48.071789705166204</v>
      </c>
      <c r="H419" s="2">
        <v>1.504</v>
      </c>
      <c r="I419" s="4">
        <v>0.122</v>
      </c>
      <c r="J419" s="4">
        <v>-50.326324981527499</v>
      </c>
      <c r="K419" s="4">
        <v>1.2074590000000001</v>
      </c>
      <c r="L419" s="4" t="s">
        <v>1408</v>
      </c>
      <c r="N419" s="5" t="s">
        <v>1408</v>
      </c>
      <c r="O419" s="5">
        <v>-333505</v>
      </c>
      <c r="P419" s="6" t="e">
        <v>#VALUE!</v>
      </c>
      <c r="Q419" s="1"/>
      <c r="R419" s="7" t="e">
        <f ca="1">_xll.SNL.Clients.Office.Excel.Functions.SPG(A419, "SP_TOTAL_DEBT", "LTM")</f>
        <v>#NAME?</v>
      </c>
      <c r="S419" s="8" t="e">
        <f ca="1">_xll.SNL.Clients.Office.Excel.Functions.SPG(A419, "SP_DEBT_TO_EQUITY", "LTM")</f>
        <v>#NAME?</v>
      </c>
      <c r="U419" s="9" t="e">
        <f t="shared" ca="1" si="6"/>
        <v>#VALUE!</v>
      </c>
      <c r="Y419" s="1"/>
      <c r="Z419" s="1"/>
      <c r="AA419" s="10"/>
      <c r="AB419" s="1" t="s">
        <v>886</v>
      </c>
      <c r="AC419" s="1" t="s">
        <v>164</v>
      </c>
      <c r="AD419" s="10">
        <v>501.82201787999998</v>
      </c>
      <c r="AE419" s="1" t="s">
        <v>25</v>
      </c>
    </row>
    <row r="420" spans="1:31" x14ac:dyDescent="0.2">
      <c r="A420" s="1" t="s">
        <v>887</v>
      </c>
      <c r="B420" s="2">
        <v>5.0670000000000002</v>
      </c>
      <c r="C420" s="3">
        <v>86.094674556212993</v>
      </c>
      <c r="D420" s="2">
        <v>13.223000000000001</v>
      </c>
      <c r="E420" s="2" t="s">
        <v>1408</v>
      </c>
      <c r="F420" s="4" t="s">
        <v>1408</v>
      </c>
      <c r="G420" s="4">
        <v>9.9991910039640803</v>
      </c>
      <c r="H420" s="2" t="s">
        <v>1408</v>
      </c>
      <c r="I420" s="4" t="s">
        <v>1408</v>
      </c>
      <c r="J420" s="4" t="s">
        <v>1408</v>
      </c>
      <c r="K420" s="4" t="s">
        <v>1408</v>
      </c>
      <c r="L420" s="4" t="s">
        <v>1408</v>
      </c>
      <c r="N420" s="5" t="s">
        <v>1408</v>
      </c>
      <c r="O420" s="5">
        <v>1545000</v>
      </c>
      <c r="P420" s="6" t="e">
        <v>#VALUE!</v>
      </c>
      <c r="Q420" s="1"/>
      <c r="R420" s="7" t="e">
        <f ca="1">_xll.SNL.Clients.Office.Excel.Functions.SPG(A420, "SP_TOTAL_DEBT", "LTM")</f>
        <v>#NAME?</v>
      </c>
      <c r="S420" s="8" t="e">
        <f ca="1">_xll.SNL.Clients.Office.Excel.Functions.SPG(A420, "SP_DEBT_TO_EQUITY", "LTM")</f>
        <v>#NAME?</v>
      </c>
      <c r="U420" s="9" t="e">
        <f t="shared" ca="1" si="6"/>
        <v>#VALUE!</v>
      </c>
      <c r="Y420" s="1"/>
      <c r="Z420" s="1"/>
      <c r="AA420" s="10"/>
      <c r="AB420" s="1" t="s">
        <v>888</v>
      </c>
      <c r="AC420" s="1" t="s">
        <v>95</v>
      </c>
      <c r="AD420" s="10">
        <v>16266.041776120001</v>
      </c>
      <c r="AE420" s="1" t="s">
        <v>25</v>
      </c>
    </row>
    <row r="421" spans="1:31" x14ac:dyDescent="0.2">
      <c r="A421" s="1" t="s">
        <v>889</v>
      </c>
      <c r="B421" s="2">
        <v>18.661000000000001</v>
      </c>
      <c r="C421" s="3">
        <v>31.634615384615401</v>
      </c>
      <c r="D421" s="2">
        <v>16.882000000000001</v>
      </c>
      <c r="E421" s="2">
        <v>17.640613999999999</v>
      </c>
      <c r="F421" s="4">
        <v>10.265000000000001</v>
      </c>
      <c r="G421" s="4">
        <v>50.006727165231197</v>
      </c>
      <c r="H421" s="2">
        <v>6.2859999999999996</v>
      </c>
      <c r="I421" s="4">
        <v>1.012</v>
      </c>
      <c r="J421" s="4" t="s">
        <v>1408</v>
      </c>
      <c r="K421" s="4">
        <v>8.6723879999999998</v>
      </c>
      <c r="L421" s="4">
        <v>10.782961</v>
      </c>
      <c r="N421" s="5" t="s">
        <v>1408</v>
      </c>
      <c r="O421" s="5">
        <v>1066250</v>
      </c>
      <c r="P421" s="6" t="e">
        <v>#VALUE!</v>
      </c>
      <c r="Q421" s="1"/>
      <c r="R421" s="7" t="e">
        <f ca="1">_xll.SNL.Clients.Office.Excel.Functions.SPG(A421, "SP_TOTAL_DEBT", "LTM")</f>
        <v>#NAME?</v>
      </c>
      <c r="S421" s="8" t="e">
        <f ca="1">_xll.SNL.Clients.Office.Excel.Functions.SPG(A421, "SP_DEBT_TO_EQUITY", "LTM")</f>
        <v>#NAME?</v>
      </c>
      <c r="U421" s="9" t="e">
        <f t="shared" ca="1" si="6"/>
        <v>#VALUE!</v>
      </c>
      <c r="Y421" s="1"/>
      <c r="Z421" s="1"/>
      <c r="AA421" s="10"/>
      <c r="AB421" s="1" t="s">
        <v>890</v>
      </c>
      <c r="AC421" s="1" t="s">
        <v>174</v>
      </c>
      <c r="AD421" s="10">
        <v>18087.305022150002</v>
      </c>
      <c r="AE421" s="1" t="s">
        <v>25</v>
      </c>
    </row>
    <row r="422" spans="1:31" x14ac:dyDescent="0.2">
      <c r="A422" s="1" t="s">
        <v>891</v>
      </c>
      <c r="B422" s="2" t="s">
        <v>1408</v>
      </c>
      <c r="C422" s="3">
        <v>-7.6470588235294104</v>
      </c>
      <c r="D422" s="2">
        <v>-2.9380000000000002</v>
      </c>
      <c r="E422" s="2">
        <v>13.069307</v>
      </c>
      <c r="F422" s="4">
        <v>0.44800000000000001</v>
      </c>
      <c r="G422" s="4">
        <v>11.835753426477</v>
      </c>
      <c r="H422" s="2" t="s">
        <v>1408</v>
      </c>
      <c r="I422" s="4" t="s">
        <v>1408</v>
      </c>
      <c r="J422" s="4">
        <v>43.582232077105502</v>
      </c>
      <c r="K422" s="4">
        <v>0.67841399999999996</v>
      </c>
      <c r="L422" s="4" t="s">
        <v>1408</v>
      </c>
      <c r="N422" s="5" t="s">
        <v>1408</v>
      </c>
      <c r="O422" s="5">
        <v>35955</v>
      </c>
      <c r="P422" s="6" t="e">
        <v>#VALUE!</v>
      </c>
      <c r="Q422" s="1"/>
      <c r="R422" s="7" t="e">
        <f ca="1">_xll.SNL.Clients.Office.Excel.Functions.SPG(A422, "SP_TOTAL_DEBT", "LTM")</f>
        <v>#NAME?</v>
      </c>
      <c r="S422" s="8" t="e">
        <f ca="1">_xll.SNL.Clients.Office.Excel.Functions.SPG(A422, "SP_DEBT_TO_EQUITY", "LTM")</f>
        <v>#NAME?</v>
      </c>
      <c r="U422" s="9" t="e">
        <f t="shared" ca="1" si="6"/>
        <v>#VALUE!</v>
      </c>
      <c r="Y422" s="1"/>
      <c r="Z422" s="1"/>
      <c r="AA422" s="10"/>
      <c r="AB422" s="1" t="s">
        <v>892</v>
      </c>
      <c r="AC422" s="1" t="s">
        <v>34</v>
      </c>
      <c r="AD422" s="10">
        <v>489.7627008</v>
      </c>
      <c r="AE422" s="1" t="s">
        <v>25</v>
      </c>
    </row>
    <row r="423" spans="1:31" x14ac:dyDescent="0.2">
      <c r="A423" s="1" t="s">
        <v>893</v>
      </c>
      <c r="B423" s="2" t="s">
        <v>1408</v>
      </c>
      <c r="C423" s="3">
        <v>36.947094535993102</v>
      </c>
      <c r="D423" s="2">
        <v>17.443000000000001</v>
      </c>
      <c r="E423" s="2">
        <v>8.3768209999999996</v>
      </c>
      <c r="F423" s="4">
        <v>1.34</v>
      </c>
      <c r="G423" s="4">
        <v>10.5834202092745</v>
      </c>
      <c r="H423" s="2" t="s">
        <v>1408</v>
      </c>
      <c r="I423" s="4" t="s">
        <v>1408</v>
      </c>
      <c r="J423" s="4" t="s">
        <v>1408</v>
      </c>
      <c r="K423" s="4">
        <v>0.88096600000000003</v>
      </c>
      <c r="L423" s="4" t="s">
        <v>1408</v>
      </c>
      <c r="N423" s="5" t="s">
        <v>1408</v>
      </c>
      <c r="O423" s="5">
        <v>2741000</v>
      </c>
      <c r="P423" s="6" t="e">
        <v>#VALUE!</v>
      </c>
      <c r="Q423" s="1"/>
      <c r="R423" s="7" t="e">
        <f ca="1">_xll.SNL.Clients.Office.Excel.Functions.SPG(A423, "SP_TOTAL_DEBT", "LTM")</f>
        <v>#NAME?</v>
      </c>
      <c r="S423" s="8" t="e">
        <f ca="1">_xll.SNL.Clients.Office.Excel.Functions.SPG(A423, "SP_DEBT_TO_EQUITY", "LTM")</f>
        <v>#NAME?</v>
      </c>
      <c r="U423" s="9" t="e">
        <f t="shared" ca="1" si="6"/>
        <v>#VALUE!</v>
      </c>
      <c r="Y423" s="1"/>
      <c r="Z423" s="1"/>
      <c r="AA423" s="10"/>
      <c r="AB423" s="1" t="s">
        <v>894</v>
      </c>
      <c r="AC423" s="1" t="s">
        <v>34</v>
      </c>
      <c r="AD423" s="10">
        <v>22945.176899999999</v>
      </c>
      <c r="AE423" s="1" t="s">
        <v>25</v>
      </c>
    </row>
    <row r="424" spans="1:31" x14ac:dyDescent="0.2">
      <c r="A424" s="1" t="s">
        <v>895</v>
      </c>
      <c r="B424" s="2" t="s">
        <v>1408</v>
      </c>
      <c r="C424" s="3">
        <v>24.752475247524799</v>
      </c>
      <c r="D424" s="2">
        <v>15.388</v>
      </c>
      <c r="E424" s="2">
        <v>7.8888889999999998</v>
      </c>
      <c r="F424" s="4">
        <v>1.5289999999999999</v>
      </c>
      <c r="G424" s="4">
        <v>16.4181258783758</v>
      </c>
      <c r="H424" s="2" t="s">
        <v>1408</v>
      </c>
      <c r="I424" s="4" t="s">
        <v>1408</v>
      </c>
      <c r="J424" s="4" t="s">
        <v>1408</v>
      </c>
      <c r="K424" s="4">
        <v>1.1897070000000001</v>
      </c>
      <c r="L424" s="4" t="s">
        <v>1408</v>
      </c>
      <c r="N424" s="5" t="s">
        <v>1408</v>
      </c>
      <c r="O424" s="5">
        <v>43224</v>
      </c>
      <c r="P424" s="6" t="e">
        <v>#VALUE!</v>
      </c>
      <c r="Q424" s="1"/>
      <c r="R424" s="7" t="e">
        <f ca="1">_xll.SNL.Clients.Office.Excel.Functions.SPG(A424, "SP_TOTAL_DEBT", "LTM")</f>
        <v>#NAME?</v>
      </c>
      <c r="S424" s="8" t="e">
        <f ca="1">_xll.SNL.Clients.Office.Excel.Functions.SPG(A424, "SP_DEBT_TO_EQUITY", "LTM")</f>
        <v>#NAME?</v>
      </c>
      <c r="U424" s="9" t="e">
        <f t="shared" ca="1" si="6"/>
        <v>#VALUE!</v>
      </c>
      <c r="Y424" s="1"/>
      <c r="Z424" s="1"/>
      <c r="AA424" s="10"/>
      <c r="AB424" s="1" t="s">
        <v>896</v>
      </c>
      <c r="AC424" s="1" t="s">
        <v>34</v>
      </c>
      <c r="AD424" s="10">
        <v>365.54725142000001</v>
      </c>
      <c r="AE424" s="1" t="s">
        <v>25</v>
      </c>
    </row>
    <row r="425" spans="1:31" x14ac:dyDescent="0.2">
      <c r="A425" s="1" t="s">
        <v>897</v>
      </c>
      <c r="B425" s="2">
        <v>5.2510000000000003</v>
      </c>
      <c r="C425" s="3">
        <v>-32.5</v>
      </c>
      <c r="D425" s="2">
        <v>30.38</v>
      </c>
      <c r="E425" s="2">
        <v>9.1663289999999993</v>
      </c>
      <c r="F425" s="4">
        <v>6.19</v>
      </c>
      <c r="G425" s="4">
        <v>12.5631391260307</v>
      </c>
      <c r="H425" s="2">
        <v>1.1299999999999999</v>
      </c>
      <c r="I425" s="4">
        <v>0.113</v>
      </c>
      <c r="J425" s="4" t="s">
        <v>1408</v>
      </c>
      <c r="K425" s="4">
        <v>1.5949599999999999</v>
      </c>
      <c r="L425" s="4">
        <v>13.249943</v>
      </c>
      <c r="N425" s="5">
        <v>298373</v>
      </c>
      <c r="O425" s="5">
        <v>395685</v>
      </c>
      <c r="P425" s="6">
        <v>0.75406699773809971</v>
      </c>
      <c r="Q425" s="1"/>
      <c r="R425" s="7" t="e">
        <f ca="1">_xll.SNL.Clients.Office.Excel.Functions.SPG(A425, "SP_TOTAL_DEBT", "LTM")</f>
        <v>#NAME?</v>
      </c>
      <c r="S425" s="8" t="e">
        <f ca="1">_xll.SNL.Clients.Office.Excel.Functions.SPG(A425, "SP_DEBT_TO_EQUITY", "LTM")</f>
        <v>#NAME?</v>
      </c>
      <c r="U425" s="9" t="e">
        <f t="shared" ca="1" si="6"/>
        <v>#NAME?</v>
      </c>
      <c r="Y425" s="1"/>
      <c r="Z425" s="1"/>
      <c r="AA425" s="10"/>
      <c r="AB425" s="1" t="s">
        <v>898</v>
      </c>
      <c r="AC425" s="1" t="s">
        <v>363</v>
      </c>
      <c r="AD425" s="10">
        <v>3791.9810711999999</v>
      </c>
      <c r="AE425" s="1" t="s">
        <v>25</v>
      </c>
    </row>
    <row r="426" spans="1:31" x14ac:dyDescent="0.2">
      <c r="A426" s="1" t="s">
        <v>899</v>
      </c>
      <c r="B426" s="2">
        <v>7.9210000000000003</v>
      </c>
      <c r="C426" s="3" t="s">
        <v>1409</v>
      </c>
      <c r="D426" s="2">
        <v>-74.459000000000003</v>
      </c>
      <c r="E426" s="2">
        <v>4.1825780000000004</v>
      </c>
      <c r="F426" s="4">
        <v>1.4019999999999999</v>
      </c>
      <c r="G426" s="4">
        <v>-4.0322026085029803</v>
      </c>
      <c r="H426" s="2">
        <v>22.905000000000001</v>
      </c>
      <c r="I426" s="4">
        <v>2.4E-2</v>
      </c>
      <c r="J426" s="4" t="s">
        <v>1408</v>
      </c>
      <c r="K426" s="4">
        <v>1.2104220000000001</v>
      </c>
      <c r="L426" s="4">
        <v>3.3829639999999999</v>
      </c>
      <c r="N426" s="5" t="s">
        <v>1408</v>
      </c>
      <c r="O426" s="5">
        <v>4729000</v>
      </c>
      <c r="P426" s="6" t="e">
        <v>#VALUE!</v>
      </c>
      <c r="Q426" s="1"/>
      <c r="R426" s="7" t="e">
        <f ca="1">_xll.SNL.Clients.Office.Excel.Functions.SPG(A426, "SP_TOTAL_DEBT", "LTM")</f>
        <v>#NAME?</v>
      </c>
      <c r="S426" s="8" t="e">
        <f ca="1">_xll.SNL.Clients.Office.Excel.Functions.SPG(A426, "SP_DEBT_TO_EQUITY", "LTM")</f>
        <v>#NAME?</v>
      </c>
      <c r="U426" s="9" t="e">
        <f t="shared" ca="1" si="6"/>
        <v>#VALUE!</v>
      </c>
      <c r="Y426" s="1"/>
      <c r="Z426" s="1"/>
      <c r="AA426" s="10"/>
      <c r="AB426" s="1" t="s">
        <v>900</v>
      </c>
      <c r="AC426" s="1" t="s">
        <v>60</v>
      </c>
      <c r="AD426" s="10">
        <v>40119.501359902497</v>
      </c>
      <c r="AE426" s="1" t="s">
        <v>25</v>
      </c>
    </row>
    <row r="427" spans="1:31" x14ac:dyDescent="0.2">
      <c r="A427" s="1" t="s">
        <v>901</v>
      </c>
      <c r="B427" s="2">
        <v>12.303000000000001</v>
      </c>
      <c r="C427" s="3" t="s">
        <v>1408</v>
      </c>
      <c r="D427" s="2">
        <v>5.9809999999999999</v>
      </c>
      <c r="E427" s="2">
        <v>17.065286</v>
      </c>
      <c r="F427" s="4">
        <v>1.7529999999999999</v>
      </c>
      <c r="G427" s="4" t="s">
        <v>1408</v>
      </c>
      <c r="H427" s="2">
        <v>1.0169999999999999</v>
      </c>
      <c r="I427" s="4">
        <v>0.33600000000000002</v>
      </c>
      <c r="J427" s="4" t="s">
        <v>1408</v>
      </c>
      <c r="K427" s="4">
        <v>7.3670030000000004</v>
      </c>
      <c r="L427" s="4">
        <v>32.656618000000002</v>
      </c>
      <c r="N427" s="5">
        <v>115682.75</v>
      </c>
      <c r="O427" s="5">
        <v>147935</v>
      </c>
      <c r="P427" s="6">
        <v>0.78198364146415655</v>
      </c>
      <c r="Q427" s="1"/>
      <c r="R427" s="7" t="e">
        <f ca="1">_xll.SNL.Clients.Office.Excel.Functions.SPG(A427, "SP_TOTAL_DEBT", "LTM")</f>
        <v>#NAME?</v>
      </c>
      <c r="S427" s="8" t="e">
        <f ca="1">_xll.SNL.Clients.Office.Excel.Functions.SPG(A427, "SP_DEBT_TO_EQUITY", "LTM")</f>
        <v>#NAME?</v>
      </c>
      <c r="U427" s="9" t="e">
        <f t="shared" ca="1" si="6"/>
        <v>#NAME?</v>
      </c>
      <c r="Y427" s="1"/>
      <c r="Z427" s="1"/>
      <c r="AA427" s="10"/>
      <c r="AB427" s="1" t="s">
        <v>902</v>
      </c>
      <c r="AC427" s="1" t="s">
        <v>108</v>
      </c>
      <c r="AD427" s="10">
        <v>1444.0236141790299</v>
      </c>
      <c r="AE427" s="1" t="s">
        <v>42</v>
      </c>
    </row>
    <row r="428" spans="1:31" x14ac:dyDescent="0.2">
      <c r="A428" s="1" t="s">
        <v>903</v>
      </c>
      <c r="B428" s="2">
        <v>10.002000000000001</v>
      </c>
      <c r="C428" s="3" t="s">
        <v>1409</v>
      </c>
      <c r="D428" s="2">
        <v>35.359000000000002</v>
      </c>
      <c r="E428" s="2">
        <v>9.5779019999999999</v>
      </c>
      <c r="F428" s="4" t="s">
        <v>1408</v>
      </c>
      <c r="G428" s="4" t="s">
        <v>1408</v>
      </c>
      <c r="H428" s="2" t="s">
        <v>1408</v>
      </c>
      <c r="I428" s="4" t="s">
        <v>1408</v>
      </c>
      <c r="J428" s="4" t="s">
        <v>1408</v>
      </c>
      <c r="K428" s="4">
        <v>1.3893070000000001</v>
      </c>
      <c r="L428" s="4">
        <v>5.9444819999999998</v>
      </c>
      <c r="N428" s="5" t="s">
        <v>1408</v>
      </c>
      <c r="O428" s="5">
        <v>2101090</v>
      </c>
      <c r="P428" s="6" t="e">
        <v>#VALUE!</v>
      </c>
      <c r="Q428" s="1"/>
      <c r="R428" s="7" t="e">
        <f ca="1">_xll.SNL.Clients.Office.Excel.Functions.SPG(A428, "SP_TOTAL_DEBT", "LTM")</f>
        <v>#NAME?</v>
      </c>
      <c r="S428" s="8" t="e">
        <f ca="1">_xll.SNL.Clients.Office.Excel.Functions.SPG(A428, "SP_DEBT_TO_EQUITY", "LTM")</f>
        <v>#NAME?</v>
      </c>
      <c r="U428" s="9" t="e">
        <f t="shared" ca="1" si="6"/>
        <v>#VALUE!</v>
      </c>
      <c r="Y428" s="1"/>
      <c r="Z428" s="1"/>
      <c r="AA428" s="10"/>
      <c r="AB428" s="1" t="s">
        <v>904</v>
      </c>
      <c r="AC428" s="1" t="s">
        <v>95</v>
      </c>
      <c r="AD428" s="10">
        <v>19793.829367620001</v>
      </c>
      <c r="AE428" s="1" t="s">
        <v>25</v>
      </c>
    </row>
    <row r="429" spans="1:31" x14ac:dyDescent="0.2">
      <c r="A429" s="1" t="s">
        <v>905</v>
      </c>
      <c r="B429" s="2">
        <v>15.525</v>
      </c>
      <c r="C429" s="3">
        <v>3.0075187969924699</v>
      </c>
      <c r="D429" s="2">
        <v>4.7679999999999998</v>
      </c>
      <c r="E429" s="2">
        <v>32.300730000000001</v>
      </c>
      <c r="F429" s="4">
        <v>10.869</v>
      </c>
      <c r="G429" s="4">
        <v>22.1286575784146</v>
      </c>
      <c r="H429" s="2">
        <v>12.936</v>
      </c>
      <c r="I429" s="4">
        <v>0.41499999999999998</v>
      </c>
      <c r="J429" s="4" t="s">
        <v>1408</v>
      </c>
      <c r="K429" s="4">
        <v>6.4565640000000002</v>
      </c>
      <c r="L429" s="4">
        <v>20.138784000000001</v>
      </c>
      <c r="N429" s="5" t="s">
        <v>1408</v>
      </c>
      <c r="O429" s="5">
        <v>258055</v>
      </c>
      <c r="P429" s="6" t="e">
        <v>#VALUE!</v>
      </c>
      <c r="Q429" s="1"/>
      <c r="R429" s="7" t="e">
        <f ca="1">_xll.SNL.Clients.Office.Excel.Functions.SPG(A429, "SP_TOTAL_DEBT", "LTM")</f>
        <v>#NAME?</v>
      </c>
      <c r="S429" s="8" t="e">
        <f ca="1">_xll.SNL.Clients.Office.Excel.Functions.SPG(A429, "SP_DEBT_TO_EQUITY", "LTM")</f>
        <v>#NAME?</v>
      </c>
      <c r="U429" s="9" t="e">
        <f t="shared" ca="1" si="6"/>
        <v>#VALUE!</v>
      </c>
      <c r="Y429" s="1"/>
      <c r="Z429" s="1"/>
      <c r="AA429" s="10"/>
      <c r="AB429" s="1" t="s">
        <v>906</v>
      </c>
      <c r="AC429" s="1" t="s">
        <v>177</v>
      </c>
      <c r="AD429" s="10">
        <v>8548.0575784800003</v>
      </c>
      <c r="AE429" s="1" t="s">
        <v>25</v>
      </c>
    </row>
    <row r="430" spans="1:31" x14ac:dyDescent="0.2">
      <c r="A430" s="1" t="s">
        <v>907</v>
      </c>
      <c r="B430" s="2">
        <v>-8.5310000000000006</v>
      </c>
      <c r="C430" s="3" t="s">
        <v>1409</v>
      </c>
      <c r="D430" s="2">
        <v>44.671999999999997</v>
      </c>
      <c r="E430" s="2" t="s">
        <v>1409</v>
      </c>
      <c r="F430" s="4">
        <v>-10.398999999999999</v>
      </c>
      <c r="G430" s="4">
        <v>-12.0895337338098</v>
      </c>
      <c r="H430" s="2">
        <v>4.74</v>
      </c>
      <c r="I430" s="4">
        <v>0.45100000000000001</v>
      </c>
      <c r="J430" s="4" t="s">
        <v>1408</v>
      </c>
      <c r="K430" s="4">
        <v>2.407483</v>
      </c>
      <c r="L430" s="4" t="s">
        <v>1409</v>
      </c>
      <c r="N430" s="5">
        <v>34948.75</v>
      </c>
      <c r="O430" s="5">
        <v>-208913</v>
      </c>
      <c r="P430" s="6">
        <v>-0.16728853637638635</v>
      </c>
      <c r="Q430" s="1"/>
      <c r="R430" s="7" t="e">
        <f ca="1">_xll.SNL.Clients.Office.Excel.Functions.SPG(A430, "SP_TOTAL_DEBT", "LTM")</f>
        <v>#NAME?</v>
      </c>
      <c r="S430" s="8" t="e">
        <f ca="1">_xll.SNL.Clients.Office.Excel.Functions.SPG(A430, "SP_DEBT_TO_EQUITY", "LTM")</f>
        <v>#NAME?</v>
      </c>
      <c r="U430" s="9" t="e">
        <f t="shared" ca="1" si="6"/>
        <v>#NAME?</v>
      </c>
      <c r="Y430" s="1"/>
      <c r="Z430" s="1"/>
      <c r="AA430" s="10"/>
      <c r="AB430" s="1" t="s">
        <v>908</v>
      </c>
      <c r="AC430" s="1" t="s">
        <v>57</v>
      </c>
      <c r="AD430" s="10">
        <v>3136.3256218500001</v>
      </c>
      <c r="AE430" s="1" t="s">
        <v>25</v>
      </c>
    </row>
    <row r="431" spans="1:31" x14ac:dyDescent="0.2">
      <c r="A431" s="1" t="s">
        <v>909</v>
      </c>
      <c r="B431" s="2">
        <v>-1.091</v>
      </c>
      <c r="C431" s="3" t="s">
        <v>1409</v>
      </c>
      <c r="D431" s="2">
        <v>-37.167999999999999</v>
      </c>
      <c r="E431" s="2" t="s">
        <v>1409</v>
      </c>
      <c r="F431" s="4">
        <v>-2.6230000000000002</v>
      </c>
      <c r="G431" s="4" t="s">
        <v>1409</v>
      </c>
      <c r="H431" s="2">
        <v>2.7549999999999999</v>
      </c>
      <c r="I431" s="4">
        <v>2.5999999999999999E-2</v>
      </c>
      <c r="J431" s="4" t="s">
        <v>1408</v>
      </c>
      <c r="K431" s="4" t="s">
        <v>1409</v>
      </c>
      <c r="L431" s="4" t="s">
        <v>1408</v>
      </c>
      <c r="N431" s="5">
        <v>266125</v>
      </c>
      <c r="O431" s="5">
        <v>-407000</v>
      </c>
      <c r="P431" s="6">
        <v>-0.65386977886977882</v>
      </c>
      <c r="Q431" s="1"/>
      <c r="R431" s="7" t="e">
        <f ca="1">_xll.SNL.Clients.Office.Excel.Functions.SPG(A431, "SP_TOTAL_DEBT", "LTM")</f>
        <v>#NAME?</v>
      </c>
      <c r="S431" s="8" t="e">
        <f ca="1">_xll.SNL.Clients.Office.Excel.Functions.SPG(A431, "SP_DEBT_TO_EQUITY", "LTM")</f>
        <v>#NAME?</v>
      </c>
      <c r="U431" s="9" t="e">
        <f t="shared" ca="1" si="6"/>
        <v>#NAME?</v>
      </c>
      <c r="Y431" s="1"/>
      <c r="Z431" s="1"/>
      <c r="AA431" s="10"/>
      <c r="AB431" s="1" t="s">
        <v>910</v>
      </c>
      <c r="AC431" s="1" t="s">
        <v>911</v>
      </c>
      <c r="AD431" s="10">
        <v>310.92814176000002</v>
      </c>
      <c r="AE431" s="1" t="s">
        <v>25</v>
      </c>
    </row>
    <row r="432" spans="1:31" x14ac:dyDescent="0.2">
      <c r="A432" s="1" t="s">
        <v>912</v>
      </c>
      <c r="B432" s="2" t="s">
        <v>1408</v>
      </c>
      <c r="C432" s="3" t="s">
        <v>1408</v>
      </c>
      <c r="D432" s="2">
        <v>-5.8609999999999998</v>
      </c>
      <c r="E432" s="2">
        <v>6.7167919999999999</v>
      </c>
      <c r="F432" s="4">
        <v>1.913</v>
      </c>
      <c r="G432" s="4" t="s">
        <v>1408</v>
      </c>
      <c r="H432" s="2">
        <v>1.9350000000000001</v>
      </c>
      <c r="I432" s="4">
        <v>2.9000000000000001E-2</v>
      </c>
      <c r="J432" s="4" t="s">
        <v>1408</v>
      </c>
      <c r="K432" s="4">
        <v>1.0797019999999999</v>
      </c>
      <c r="L432" s="4" t="s">
        <v>1408</v>
      </c>
      <c r="N432" s="5" t="s">
        <v>1408</v>
      </c>
      <c r="O432" s="5">
        <v>81731</v>
      </c>
      <c r="P432" s="6" t="e">
        <v>#VALUE!</v>
      </c>
      <c r="Q432" s="1"/>
      <c r="R432" s="7" t="e">
        <f ca="1">_xll.SNL.Clients.Office.Excel.Functions.SPG(A432, "SP_TOTAL_DEBT", "LTM")</f>
        <v>#NAME?</v>
      </c>
      <c r="S432" s="8" t="e">
        <f ca="1">_xll.SNL.Clients.Office.Excel.Functions.SPG(A432, "SP_DEBT_TO_EQUITY", "LTM")</f>
        <v>#NAME?</v>
      </c>
      <c r="U432" s="9" t="e">
        <f t="shared" ca="1" si="6"/>
        <v>#VALUE!</v>
      </c>
      <c r="Y432" s="1"/>
      <c r="Z432" s="1"/>
      <c r="AA432" s="10"/>
      <c r="AB432" s="1" t="s">
        <v>913</v>
      </c>
      <c r="AC432" s="1" t="s">
        <v>164</v>
      </c>
      <c r="AD432" s="10">
        <v>433.82119712382899</v>
      </c>
      <c r="AE432" s="1" t="s">
        <v>25</v>
      </c>
    </row>
    <row r="433" spans="1:31" x14ac:dyDescent="0.2">
      <c r="A433" s="1" t="s">
        <v>914</v>
      </c>
      <c r="B433" s="2" t="s">
        <v>1408</v>
      </c>
      <c r="C433" s="3">
        <v>-6.7724711045218697</v>
      </c>
      <c r="D433" s="2">
        <v>-0.19700000000000001</v>
      </c>
      <c r="E433" s="2">
        <v>7.1163910000000001</v>
      </c>
      <c r="F433" s="4">
        <v>1.153</v>
      </c>
      <c r="G433" s="4">
        <v>9.4656647618473908</v>
      </c>
      <c r="H433" s="2" t="s">
        <v>1408</v>
      </c>
      <c r="I433" s="4" t="s">
        <v>1408</v>
      </c>
      <c r="J433" s="4">
        <v>42.751997256006099</v>
      </c>
      <c r="K433" s="4">
        <v>0.72317100000000001</v>
      </c>
      <c r="L433" s="4" t="s">
        <v>1408</v>
      </c>
      <c r="N433" s="5" t="s">
        <v>1408</v>
      </c>
      <c r="O433" s="5">
        <v>201914</v>
      </c>
      <c r="P433" s="6" t="e">
        <v>#VALUE!</v>
      </c>
      <c r="Q433" s="1"/>
      <c r="R433" s="7" t="e">
        <f ca="1">_xll.SNL.Clients.Office.Excel.Functions.SPG(A433, "SP_TOTAL_DEBT", "LTM")</f>
        <v>#NAME?</v>
      </c>
      <c r="S433" s="8" t="e">
        <f ca="1">_xll.SNL.Clients.Office.Excel.Functions.SPG(A433, "SP_DEBT_TO_EQUITY", "LTM")</f>
        <v>#NAME?</v>
      </c>
      <c r="U433" s="9" t="e">
        <f t="shared" ca="1" si="6"/>
        <v>#VALUE!</v>
      </c>
      <c r="Y433" s="1"/>
      <c r="Z433" s="1"/>
      <c r="AA433" s="10"/>
      <c r="AB433" s="1" t="s">
        <v>915</v>
      </c>
      <c r="AC433" s="1" t="s">
        <v>34</v>
      </c>
      <c r="AD433" s="10">
        <v>1541.28</v>
      </c>
      <c r="AE433" s="1" t="s">
        <v>25</v>
      </c>
    </row>
    <row r="434" spans="1:31" x14ac:dyDescent="0.2">
      <c r="A434" s="1" t="s">
        <v>916</v>
      </c>
      <c r="B434" s="2" t="s">
        <v>1408</v>
      </c>
      <c r="C434" s="3">
        <v>33.246753246753201</v>
      </c>
      <c r="D434" s="2">
        <v>19.138000000000002</v>
      </c>
      <c r="E434" s="2">
        <v>7.4054580000000003</v>
      </c>
      <c r="F434" s="4">
        <v>1.6080000000000001</v>
      </c>
      <c r="G434" s="4">
        <v>17.235292761206399</v>
      </c>
      <c r="H434" s="2" t="s">
        <v>1408</v>
      </c>
      <c r="I434" s="4" t="s">
        <v>1408</v>
      </c>
      <c r="J434" s="4">
        <v>46.133289533846202</v>
      </c>
      <c r="K434" s="4">
        <v>1.1732549999999999</v>
      </c>
      <c r="L434" s="4" t="s">
        <v>1408</v>
      </c>
      <c r="N434" s="5" t="s">
        <v>1408</v>
      </c>
      <c r="O434" s="5">
        <v>82217</v>
      </c>
      <c r="P434" s="6" t="e">
        <v>#VALUE!</v>
      </c>
      <c r="Q434" s="1"/>
      <c r="R434" s="7" t="e">
        <f ca="1">_xll.SNL.Clients.Office.Excel.Functions.SPG(A434, "SP_TOTAL_DEBT", "LTM")</f>
        <v>#NAME?</v>
      </c>
      <c r="S434" s="8" t="e">
        <f ca="1">_xll.SNL.Clients.Office.Excel.Functions.SPG(A434, "SP_DEBT_TO_EQUITY", "LTM")</f>
        <v>#NAME?</v>
      </c>
      <c r="U434" s="9" t="e">
        <f t="shared" ca="1" si="6"/>
        <v>#VALUE!</v>
      </c>
      <c r="Y434" s="1"/>
      <c r="Z434" s="1"/>
      <c r="AA434" s="10"/>
      <c r="AB434" s="1" t="s">
        <v>917</v>
      </c>
      <c r="AC434" s="1" t="s">
        <v>34</v>
      </c>
      <c r="AD434" s="10">
        <v>642.42449012999998</v>
      </c>
      <c r="AE434" s="1" t="s">
        <v>25</v>
      </c>
    </row>
    <row r="435" spans="1:31" x14ac:dyDescent="0.2">
      <c r="A435" s="1" t="s">
        <v>918</v>
      </c>
      <c r="B435" s="2" t="s">
        <v>1408</v>
      </c>
      <c r="C435" s="3">
        <v>26.174496644295299</v>
      </c>
      <c r="D435" s="2">
        <v>22.312000000000001</v>
      </c>
      <c r="E435" s="2">
        <v>7.053191</v>
      </c>
      <c r="F435" s="4">
        <v>1.889</v>
      </c>
      <c r="G435" s="4">
        <v>17.6341424137267</v>
      </c>
      <c r="H435" s="2" t="s">
        <v>1408</v>
      </c>
      <c r="I435" s="4" t="s">
        <v>1408</v>
      </c>
      <c r="J435" s="4" t="s">
        <v>1408</v>
      </c>
      <c r="K435" s="4">
        <v>1.431759</v>
      </c>
      <c r="L435" s="4" t="s">
        <v>1408</v>
      </c>
      <c r="N435" s="5" t="s">
        <v>1408</v>
      </c>
      <c r="O435" s="5">
        <v>279234</v>
      </c>
      <c r="P435" s="6" t="e">
        <v>#VALUE!</v>
      </c>
      <c r="Q435" s="1"/>
      <c r="R435" s="7" t="e">
        <f ca="1">_xll.SNL.Clients.Office.Excel.Functions.SPG(A435, "SP_TOTAL_DEBT", "LTM")</f>
        <v>#NAME?</v>
      </c>
      <c r="S435" s="8" t="e">
        <f ca="1">_xll.SNL.Clients.Office.Excel.Functions.SPG(A435, "SP_DEBT_TO_EQUITY", "LTM")</f>
        <v>#NAME?</v>
      </c>
      <c r="U435" s="9" t="e">
        <f t="shared" ca="1" si="6"/>
        <v>#VALUE!</v>
      </c>
      <c r="Y435" s="1"/>
      <c r="Z435" s="1"/>
      <c r="AA435" s="10"/>
      <c r="AB435" s="1" t="s">
        <v>919</v>
      </c>
      <c r="AC435" s="1" t="s">
        <v>34</v>
      </c>
      <c r="AD435" s="10">
        <v>1891.44567072</v>
      </c>
      <c r="AE435" s="1" t="s">
        <v>25</v>
      </c>
    </row>
    <row r="436" spans="1:31" x14ac:dyDescent="0.2">
      <c r="A436" s="1" t="s">
        <v>920</v>
      </c>
      <c r="B436" s="2">
        <v>-18.164999999999999</v>
      </c>
      <c r="C436" s="3" t="s">
        <v>1409</v>
      </c>
      <c r="D436" s="2">
        <v>-8.7720000000000002</v>
      </c>
      <c r="E436" s="2" t="s">
        <v>1409</v>
      </c>
      <c r="F436" s="4">
        <v>-1.319</v>
      </c>
      <c r="G436" s="4">
        <v>-29.513695445146801</v>
      </c>
      <c r="H436" s="2">
        <v>0.76400000000000001</v>
      </c>
      <c r="I436" s="4">
        <v>0.65800000000000003</v>
      </c>
      <c r="J436" s="4" t="s">
        <v>1408</v>
      </c>
      <c r="K436" s="4">
        <v>1.579774</v>
      </c>
      <c r="L436" s="4" t="s">
        <v>1409</v>
      </c>
      <c r="N436" s="5">
        <v>-66189.375</v>
      </c>
      <c r="O436" s="5">
        <v>-101828</v>
      </c>
      <c r="P436" s="6">
        <v>0.65001153906587583</v>
      </c>
      <c r="Q436" s="1"/>
      <c r="R436" s="7" t="e">
        <f ca="1">_xll.SNL.Clients.Office.Excel.Functions.SPG(A436, "SP_TOTAL_DEBT", "LTM")</f>
        <v>#NAME?</v>
      </c>
      <c r="S436" s="8" t="e">
        <f ca="1">_xll.SNL.Clients.Office.Excel.Functions.SPG(A436, "SP_DEBT_TO_EQUITY", "LTM")</f>
        <v>#NAME?</v>
      </c>
      <c r="U436" s="9" t="e">
        <f t="shared" ca="1" si="6"/>
        <v>#NAME?</v>
      </c>
      <c r="Y436" s="1"/>
      <c r="Z436" s="1"/>
      <c r="AA436" s="10"/>
      <c r="AB436" s="1" t="s">
        <v>921</v>
      </c>
      <c r="AC436" s="1" t="s">
        <v>95</v>
      </c>
      <c r="AD436" s="10">
        <v>2217.61363635</v>
      </c>
      <c r="AE436" s="1" t="s">
        <v>25</v>
      </c>
    </row>
    <row r="437" spans="1:31" x14ac:dyDescent="0.2">
      <c r="A437" s="1" t="s">
        <v>922</v>
      </c>
      <c r="B437" s="2" t="s">
        <v>1408</v>
      </c>
      <c r="C437" s="3">
        <v>-17.213114754098399</v>
      </c>
      <c r="D437" s="2">
        <v>-14.704000000000001</v>
      </c>
      <c r="E437" s="2">
        <v>11.509900999999999</v>
      </c>
      <c r="F437" s="4">
        <v>1.49</v>
      </c>
      <c r="G437" s="4">
        <v>14.095635004082901</v>
      </c>
      <c r="H437" s="2" t="s">
        <v>1408</v>
      </c>
      <c r="I437" s="4" t="s">
        <v>1408</v>
      </c>
      <c r="J437" s="4" t="s">
        <v>1408</v>
      </c>
      <c r="K437" s="4">
        <v>1.536073</v>
      </c>
      <c r="L437" s="4" t="s">
        <v>1408</v>
      </c>
      <c r="N437" s="5" t="s">
        <v>1408</v>
      </c>
      <c r="O437" s="5">
        <v>51613</v>
      </c>
      <c r="P437" s="6" t="e">
        <v>#VALUE!</v>
      </c>
      <c r="Q437" s="1"/>
      <c r="R437" s="7" t="e">
        <f ca="1">_xll.SNL.Clients.Office.Excel.Functions.SPG(A437, "SP_TOTAL_DEBT", "LTM")</f>
        <v>#NAME?</v>
      </c>
      <c r="S437" s="8" t="e">
        <f ca="1">_xll.SNL.Clients.Office.Excel.Functions.SPG(A437, "SP_DEBT_TO_EQUITY", "LTM")</f>
        <v>#NAME?</v>
      </c>
      <c r="U437" s="9" t="e">
        <f t="shared" ca="1" si="6"/>
        <v>#VALUE!</v>
      </c>
      <c r="Y437" s="1"/>
      <c r="Z437" s="1"/>
      <c r="AA437" s="10"/>
      <c r="AB437" s="1" t="s">
        <v>923</v>
      </c>
      <c r="AC437" s="1" t="s">
        <v>34</v>
      </c>
      <c r="AD437" s="10">
        <v>602.41159340000002</v>
      </c>
      <c r="AE437" s="1" t="s">
        <v>25</v>
      </c>
    </row>
    <row r="438" spans="1:31" x14ac:dyDescent="0.2">
      <c r="A438" s="1" t="s">
        <v>924</v>
      </c>
      <c r="B438" s="2" t="s">
        <v>1408</v>
      </c>
      <c r="C438" s="3">
        <v>30.623818525519798</v>
      </c>
      <c r="D438" s="2">
        <v>-2.923</v>
      </c>
      <c r="E438" s="2">
        <v>6.2937770000000004</v>
      </c>
      <c r="F438" s="4">
        <v>1.159</v>
      </c>
      <c r="G438" s="4">
        <v>12.4423918609482</v>
      </c>
      <c r="H438" s="2" t="s">
        <v>1408</v>
      </c>
      <c r="I438" s="4" t="s">
        <v>1408</v>
      </c>
      <c r="J438" s="4" t="s">
        <v>1408</v>
      </c>
      <c r="K438" s="4">
        <v>0.73005299999999995</v>
      </c>
      <c r="L438" s="4" t="s">
        <v>1408</v>
      </c>
      <c r="N438" s="5" t="s">
        <v>1408</v>
      </c>
      <c r="O438" s="5">
        <v>77268</v>
      </c>
      <c r="P438" s="6" t="e">
        <v>#VALUE!</v>
      </c>
      <c r="Q438" s="1"/>
      <c r="R438" s="7" t="e">
        <f ca="1">_xll.SNL.Clients.Office.Excel.Functions.SPG(A438, "SP_TOTAL_DEBT", "LTM")</f>
        <v>#NAME?</v>
      </c>
      <c r="S438" s="8" t="e">
        <f ca="1">_xll.SNL.Clients.Office.Excel.Functions.SPG(A438, "SP_DEBT_TO_EQUITY", "LTM")</f>
        <v>#NAME?</v>
      </c>
      <c r="U438" s="9" t="e">
        <f t="shared" ca="1" si="6"/>
        <v>#VALUE!</v>
      </c>
      <c r="Y438" s="1"/>
      <c r="Z438" s="1"/>
      <c r="AA438" s="10"/>
      <c r="AB438" s="1" t="s">
        <v>925</v>
      </c>
      <c r="AC438" s="1" t="s">
        <v>34</v>
      </c>
      <c r="AD438" s="10">
        <v>536.43172920999996</v>
      </c>
      <c r="AE438" s="1" t="s">
        <v>25</v>
      </c>
    </row>
    <row r="439" spans="1:31" x14ac:dyDescent="0.2">
      <c r="A439" s="1" t="s">
        <v>926</v>
      </c>
      <c r="B439" s="2" t="s">
        <v>1408</v>
      </c>
      <c r="C439" s="3" t="s">
        <v>1409</v>
      </c>
      <c r="D439" s="2" t="s">
        <v>1409</v>
      </c>
      <c r="E439" s="2" t="s">
        <v>1409</v>
      </c>
      <c r="F439" s="4">
        <v>-2.9000000000000001E-2</v>
      </c>
      <c r="G439" s="4">
        <v>-10.532246708331799</v>
      </c>
      <c r="H439" s="2">
        <v>49.862000000000002</v>
      </c>
      <c r="I439" s="4">
        <v>1.4E-2</v>
      </c>
      <c r="J439" s="4" t="s">
        <v>1408</v>
      </c>
      <c r="K439" s="4">
        <v>0.60818300000000003</v>
      </c>
      <c r="L439" s="4" t="s">
        <v>1408</v>
      </c>
      <c r="N439" s="5" t="s">
        <v>1408</v>
      </c>
      <c r="O439" s="5">
        <v>-2872</v>
      </c>
      <c r="P439" s="6" t="e">
        <v>#VALUE!</v>
      </c>
      <c r="Q439" s="1"/>
      <c r="R439" s="7" t="e">
        <f ca="1">_xll.SNL.Clients.Office.Excel.Functions.SPG(A439, "SP_TOTAL_DEBT", "LTM")</f>
        <v>#NAME?</v>
      </c>
      <c r="S439" s="8" t="e">
        <f ca="1">_xll.SNL.Clients.Office.Excel.Functions.SPG(A439, "SP_DEBT_TO_EQUITY", "LTM")</f>
        <v>#NAME?</v>
      </c>
      <c r="U439" s="9" t="e">
        <f t="shared" ca="1" si="6"/>
        <v>#VALUE!</v>
      </c>
      <c r="Y439" s="1"/>
      <c r="Z439" s="1"/>
      <c r="AA439" s="10"/>
      <c r="AB439" s="1" t="s">
        <v>927</v>
      </c>
      <c r="AC439" s="1" t="s">
        <v>65</v>
      </c>
      <c r="AD439" s="10">
        <v>1128.20787279</v>
      </c>
      <c r="AE439" s="1" t="s">
        <v>25</v>
      </c>
    </row>
    <row r="440" spans="1:31" x14ac:dyDescent="0.2">
      <c r="A440" s="1" t="s">
        <v>928</v>
      </c>
      <c r="B440" s="2">
        <v>10.648999999999999</v>
      </c>
      <c r="C440" s="3">
        <v>-10.752688172042999</v>
      </c>
      <c r="D440" s="2">
        <v>-1.508</v>
      </c>
      <c r="E440" s="2">
        <v>7.8439259999999997</v>
      </c>
      <c r="F440" s="4">
        <v>9.2059999999999995</v>
      </c>
      <c r="G440" s="4">
        <v>14.7501683498897</v>
      </c>
      <c r="H440" s="2">
        <v>2.56</v>
      </c>
      <c r="I440" s="4">
        <v>0.18099999999999999</v>
      </c>
      <c r="J440" s="4" t="s">
        <v>1408</v>
      </c>
      <c r="K440" s="4">
        <v>1.047655</v>
      </c>
      <c r="L440" s="4">
        <v>5.7201149999999998</v>
      </c>
      <c r="N440" s="5" t="s">
        <v>1408</v>
      </c>
      <c r="O440" s="5">
        <v>712949</v>
      </c>
      <c r="P440" s="6" t="e">
        <v>#VALUE!</v>
      </c>
      <c r="Q440" s="1"/>
      <c r="R440" s="7" t="e">
        <f ca="1">_xll.SNL.Clients.Office.Excel.Functions.SPG(A440, "SP_TOTAL_DEBT", "LTM")</f>
        <v>#NAME?</v>
      </c>
      <c r="S440" s="8" t="e">
        <f ca="1">_xll.SNL.Clients.Office.Excel.Functions.SPG(A440, "SP_DEBT_TO_EQUITY", "LTM")</f>
        <v>#NAME?</v>
      </c>
      <c r="U440" s="9" t="e">
        <f t="shared" ca="1" si="6"/>
        <v>#VALUE!</v>
      </c>
      <c r="Y440" s="1"/>
      <c r="Z440" s="1"/>
      <c r="AA440" s="10"/>
      <c r="AB440" s="1" t="s">
        <v>929</v>
      </c>
      <c r="AC440" s="1" t="s">
        <v>509</v>
      </c>
      <c r="AD440" s="10">
        <v>5406.2809600000001</v>
      </c>
      <c r="AE440" s="1" t="s">
        <v>25</v>
      </c>
    </row>
    <row r="441" spans="1:31" x14ac:dyDescent="0.2">
      <c r="A441" s="1" t="s">
        <v>930</v>
      </c>
      <c r="B441" s="2" t="s">
        <v>1408</v>
      </c>
      <c r="C441" s="3" t="s">
        <v>1408</v>
      </c>
      <c r="D441" s="2">
        <v>-13.387</v>
      </c>
      <c r="E441" s="2">
        <v>8.583691</v>
      </c>
      <c r="F441" s="4">
        <v>1.5880000000000001</v>
      </c>
      <c r="G441" s="4">
        <v>17.9608510359331</v>
      </c>
      <c r="H441" s="2" t="s">
        <v>1408</v>
      </c>
      <c r="I441" s="4" t="s">
        <v>1408</v>
      </c>
      <c r="J441" s="4">
        <v>17.351087597034901</v>
      </c>
      <c r="K441" s="4">
        <v>1.2845219999999999</v>
      </c>
      <c r="L441" s="4" t="s">
        <v>1408</v>
      </c>
      <c r="N441" s="5" t="s">
        <v>1408</v>
      </c>
      <c r="O441" s="5">
        <v>265941</v>
      </c>
      <c r="P441" s="6" t="e">
        <v>#VALUE!</v>
      </c>
      <c r="Q441" s="1"/>
      <c r="R441" s="7" t="e">
        <f ca="1">_xll.SNL.Clients.Office.Excel.Functions.SPG(A441, "SP_TOTAL_DEBT", "LTM")</f>
        <v>#NAME?</v>
      </c>
      <c r="S441" s="8" t="e">
        <f ca="1">_xll.SNL.Clients.Office.Excel.Functions.SPG(A441, "SP_DEBT_TO_EQUITY", "LTM")</f>
        <v>#NAME?</v>
      </c>
      <c r="U441" s="9" t="e">
        <f t="shared" ca="1" si="6"/>
        <v>#VALUE!</v>
      </c>
      <c r="Y441" s="1"/>
      <c r="Z441" s="1"/>
      <c r="AA441" s="10"/>
      <c r="AB441" s="1" t="s">
        <v>931</v>
      </c>
      <c r="AC441" s="1" t="s">
        <v>34</v>
      </c>
      <c r="AD441" s="10">
        <v>968.02688177132598</v>
      </c>
      <c r="AE441" s="1" t="s">
        <v>42</v>
      </c>
    </row>
    <row r="442" spans="1:31" x14ac:dyDescent="0.2">
      <c r="A442" s="1" t="s">
        <v>932</v>
      </c>
      <c r="B442" s="2" t="s">
        <v>1408</v>
      </c>
      <c r="C442" s="3">
        <v>-33.430232558139501</v>
      </c>
      <c r="D442" s="2">
        <v>-2.0960000000000001</v>
      </c>
      <c r="E442" s="2">
        <v>9.1310040000000008</v>
      </c>
      <c r="F442" s="4">
        <v>0.76400000000000001</v>
      </c>
      <c r="G442" s="4">
        <v>7.18593365544527</v>
      </c>
      <c r="H442" s="2" t="s">
        <v>1408</v>
      </c>
      <c r="I442" s="4" t="s">
        <v>1408</v>
      </c>
      <c r="J442" s="4">
        <v>31.853923500278501</v>
      </c>
      <c r="K442" s="4">
        <v>0.63749999999999996</v>
      </c>
      <c r="L442" s="4" t="s">
        <v>1408</v>
      </c>
      <c r="N442" s="5" t="s">
        <v>1408</v>
      </c>
      <c r="O442" s="5">
        <v>37397</v>
      </c>
      <c r="P442" s="6" t="e">
        <v>#VALUE!</v>
      </c>
      <c r="Q442" s="1"/>
      <c r="R442" s="7" t="e">
        <f ca="1">_xll.SNL.Clients.Office.Excel.Functions.SPG(A442, "SP_TOTAL_DEBT", "LTM")</f>
        <v>#NAME?</v>
      </c>
      <c r="S442" s="8" t="e">
        <f ca="1">_xll.SNL.Clients.Office.Excel.Functions.SPG(A442, "SP_DEBT_TO_EQUITY", "LTM")</f>
        <v>#NAME?</v>
      </c>
      <c r="U442" s="9" t="e">
        <f t="shared" ca="1" si="6"/>
        <v>#VALUE!</v>
      </c>
      <c r="Y442" s="1"/>
      <c r="Z442" s="1"/>
      <c r="AA442" s="10"/>
      <c r="AB442" s="1" t="s">
        <v>933</v>
      </c>
      <c r="AC442" s="1" t="s">
        <v>34</v>
      </c>
      <c r="AD442" s="10">
        <v>354.34585565999998</v>
      </c>
      <c r="AE442" s="1" t="s">
        <v>25</v>
      </c>
    </row>
    <row r="443" spans="1:31" x14ac:dyDescent="0.2">
      <c r="A443" s="1" t="s">
        <v>934</v>
      </c>
      <c r="B443" s="2" t="s">
        <v>1408</v>
      </c>
      <c r="C443" s="3">
        <v>-29.787234042553202</v>
      </c>
      <c r="D443" s="2">
        <v>-7.484</v>
      </c>
      <c r="E443" s="2">
        <v>8.23569</v>
      </c>
      <c r="F443" s="4">
        <v>0.96</v>
      </c>
      <c r="G443" s="4">
        <v>9.79879105824606</v>
      </c>
      <c r="H443" s="2" t="s">
        <v>1408</v>
      </c>
      <c r="I443" s="4" t="s">
        <v>1408</v>
      </c>
      <c r="J443" s="4" t="s">
        <v>1408</v>
      </c>
      <c r="K443" s="4">
        <v>0.77373199999999998</v>
      </c>
      <c r="L443" s="4" t="s">
        <v>1408</v>
      </c>
      <c r="N443" s="5" t="s">
        <v>1408</v>
      </c>
      <c r="O443" s="5">
        <v>75460</v>
      </c>
      <c r="P443" s="6" t="e">
        <v>#VALUE!</v>
      </c>
      <c r="Q443" s="1"/>
      <c r="R443" s="7" t="e">
        <f ca="1">_xll.SNL.Clients.Office.Excel.Functions.SPG(A443, "SP_TOTAL_DEBT", "LTM")</f>
        <v>#NAME?</v>
      </c>
      <c r="S443" s="8" t="e">
        <f ca="1">_xll.SNL.Clients.Office.Excel.Functions.SPG(A443, "SP_DEBT_TO_EQUITY", "LTM")</f>
        <v>#NAME?</v>
      </c>
      <c r="U443" s="9" t="e">
        <f t="shared" ca="1" si="6"/>
        <v>#VALUE!</v>
      </c>
      <c r="Y443" s="1"/>
      <c r="Z443" s="1"/>
      <c r="AA443" s="10"/>
      <c r="AB443" s="1" t="s">
        <v>935</v>
      </c>
      <c r="AC443" s="1" t="s">
        <v>34</v>
      </c>
      <c r="AD443" s="10">
        <v>565.93981652000002</v>
      </c>
      <c r="AE443" s="1" t="s">
        <v>25</v>
      </c>
    </row>
    <row r="444" spans="1:31" x14ac:dyDescent="0.2">
      <c r="A444" s="1" t="s">
        <v>936</v>
      </c>
      <c r="B444" s="2" t="s">
        <v>1408</v>
      </c>
      <c r="C444" s="3">
        <v>-65.633074935400501</v>
      </c>
      <c r="D444" s="2">
        <v>-25.14</v>
      </c>
      <c r="E444" s="2">
        <v>17.661653999999999</v>
      </c>
      <c r="F444" s="4">
        <v>0.32100000000000001</v>
      </c>
      <c r="G444" s="4">
        <v>4.1243615929577997</v>
      </c>
      <c r="H444" s="2" t="s">
        <v>1408</v>
      </c>
      <c r="I444" s="4" t="s">
        <v>1408</v>
      </c>
      <c r="J444" s="4">
        <v>24.265646363516101</v>
      </c>
      <c r="K444" s="4">
        <v>0.70304100000000003</v>
      </c>
      <c r="L444" s="4" t="s">
        <v>1408</v>
      </c>
      <c r="N444" s="5" t="s">
        <v>1408</v>
      </c>
      <c r="O444" s="5">
        <v>20859</v>
      </c>
      <c r="P444" s="6" t="e">
        <v>#VALUE!</v>
      </c>
      <c r="Q444" s="1"/>
      <c r="R444" s="7" t="e">
        <f ca="1">_xll.SNL.Clients.Office.Excel.Functions.SPG(A444, "SP_TOTAL_DEBT", "LTM")</f>
        <v>#NAME?</v>
      </c>
      <c r="S444" s="8" t="e">
        <f ca="1">_xll.SNL.Clients.Office.Excel.Functions.SPG(A444, "SP_DEBT_TO_EQUITY", "LTM")</f>
        <v>#NAME?</v>
      </c>
      <c r="U444" s="9" t="e">
        <f t="shared" ca="1" si="6"/>
        <v>#VALUE!</v>
      </c>
      <c r="Y444" s="1"/>
      <c r="Z444" s="1"/>
      <c r="AA444" s="10"/>
      <c r="AB444" s="1" t="s">
        <v>937</v>
      </c>
      <c r="AC444" s="1" t="s">
        <v>34</v>
      </c>
      <c r="AD444" s="10">
        <v>400.20480300000003</v>
      </c>
      <c r="AE444" s="1" t="s">
        <v>25</v>
      </c>
    </row>
    <row r="445" spans="1:31" x14ac:dyDescent="0.2">
      <c r="A445" s="1" t="s">
        <v>938</v>
      </c>
      <c r="B445" s="2" t="s">
        <v>1408</v>
      </c>
      <c r="C445" s="3">
        <v>-59.925093632958799</v>
      </c>
      <c r="D445" s="2">
        <v>-36.045000000000002</v>
      </c>
      <c r="E445" s="2" t="s">
        <v>1409</v>
      </c>
      <c r="F445" s="4">
        <v>0.14199999999999999</v>
      </c>
      <c r="G445" s="4">
        <v>37.410556192099399</v>
      </c>
      <c r="H445" s="2">
        <v>0.91400000000000003</v>
      </c>
      <c r="I445" s="4">
        <v>0.74299999999999999</v>
      </c>
      <c r="J445" s="4" t="s">
        <v>1408</v>
      </c>
      <c r="K445" s="4">
        <v>9.9400650000000006</v>
      </c>
      <c r="L445" s="4" t="s">
        <v>1408</v>
      </c>
      <c r="N445" s="5" t="s">
        <v>1408</v>
      </c>
      <c r="O445" s="5">
        <v>1620</v>
      </c>
      <c r="P445" s="6" t="e">
        <v>#VALUE!</v>
      </c>
      <c r="Q445" s="1"/>
      <c r="R445" s="7" t="e">
        <f ca="1">_xll.SNL.Clients.Office.Excel.Functions.SPG(A445, "SP_TOTAL_DEBT", "LTM")</f>
        <v>#NAME?</v>
      </c>
      <c r="S445" s="8" t="e">
        <f ca="1">_xll.SNL.Clients.Office.Excel.Functions.SPG(A445, "SP_DEBT_TO_EQUITY", "LTM")</f>
        <v>#NAME?</v>
      </c>
      <c r="U445" s="9" t="e">
        <f t="shared" ca="1" si="6"/>
        <v>#VALUE!</v>
      </c>
      <c r="Y445" s="1"/>
      <c r="Z445" s="1"/>
      <c r="AA445" s="10"/>
      <c r="AB445" s="1" t="s">
        <v>939</v>
      </c>
      <c r="AC445" s="1" t="s">
        <v>174</v>
      </c>
      <c r="AD445" s="10">
        <v>3664.6964787299999</v>
      </c>
      <c r="AE445" s="1" t="s">
        <v>25</v>
      </c>
    </row>
    <row r="446" spans="1:31" x14ac:dyDescent="0.2">
      <c r="A446" s="1" t="s">
        <v>940</v>
      </c>
      <c r="B446" s="2">
        <v>16.254999999999999</v>
      </c>
      <c r="C446" s="3">
        <v>20.4444444444445</v>
      </c>
      <c r="D446" s="2">
        <v>15.257</v>
      </c>
      <c r="E446" s="2">
        <v>22.279617999999999</v>
      </c>
      <c r="F446" s="4">
        <v>7.1210000000000004</v>
      </c>
      <c r="G446" s="4">
        <v>27.639155470249499</v>
      </c>
      <c r="H446" s="2">
        <v>1.468</v>
      </c>
      <c r="I446" s="4">
        <v>2.35</v>
      </c>
      <c r="J446" s="4" t="s">
        <v>1408</v>
      </c>
      <c r="K446" s="4">
        <v>5.3397930000000002</v>
      </c>
      <c r="L446" s="4">
        <v>10.204338</v>
      </c>
      <c r="N446" s="5">
        <v>1769000</v>
      </c>
      <c r="O446" s="5">
        <v>931000</v>
      </c>
      <c r="P446" s="6">
        <v>1.9001074113856069</v>
      </c>
      <c r="Q446" s="1"/>
      <c r="R446" s="7" t="e">
        <f ca="1">_xll.SNL.Clients.Office.Excel.Functions.SPG(A446, "SP_TOTAL_DEBT", "LTM")</f>
        <v>#NAME?</v>
      </c>
      <c r="S446" s="8" t="e">
        <f ca="1">_xll.SNL.Clients.Office.Excel.Functions.SPG(A446, "SP_DEBT_TO_EQUITY", "LTM")</f>
        <v>#NAME?</v>
      </c>
      <c r="U446" s="9" t="e">
        <f t="shared" ca="1" si="6"/>
        <v>#NAME?</v>
      </c>
      <c r="Y446" s="1"/>
      <c r="Z446" s="1"/>
      <c r="AA446" s="10"/>
      <c r="AB446" s="1" t="s">
        <v>941</v>
      </c>
      <c r="AC446" s="1" t="s">
        <v>74</v>
      </c>
      <c r="AD446" s="10">
        <v>20780.452000000001</v>
      </c>
      <c r="AE446" s="1" t="s">
        <v>25</v>
      </c>
    </row>
    <row r="447" spans="1:31" x14ac:dyDescent="0.2">
      <c r="A447" s="1" t="s">
        <v>942</v>
      </c>
      <c r="B447" s="2">
        <v>-13.374000000000001</v>
      </c>
      <c r="C447" s="3" t="s">
        <v>1408</v>
      </c>
      <c r="D447" s="2">
        <v>99.179000000000002</v>
      </c>
      <c r="E447" s="2" t="s">
        <v>1409</v>
      </c>
      <c r="F447" s="4">
        <v>-2.0790000000000002</v>
      </c>
      <c r="G447" s="4" t="s">
        <v>1408</v>
      </c>
      <c r="H447" s="2">
        <v>5.6559999999999997</v>
      </c>
      <c r="I447" s="4">
        <v>0.63800000000000001</v>
      </c>
      <c r="J447" s="4" t="s">
        <v>1408</v>
      </c>
      <c r="K447" s="4">
        <v>1.9227989999999999</v>
      </c>
      <c r="L447" s="4">
        <v>89.278543999999997</v>
      </c>
      <c r="N447" s="5">
        <v>46625.5</v>
      </c>
      <c r="O447" s="5">
        <v>-176056</v>
      </c>
      <c r="P447" s="6">
        <v>-0.2648333484800291</v>
      </c>
      <c r="Q447" s="1"/>
      <c r="R447" s="7" t="e">
        <f ca="1">_xll.SNL.Clients.Office.Excel.Functions.SPG(A447, "SP_TOTAL_DEBT", "LTM")</f>
        <v>#NAME?</v>
      </c>
      <c r="S447" s="8" t="e">
        <f ca="1">_xll.SNL.Clients.Office.Excel.Functions.SPG(A447, "SP_DEBT_TO_EQUITY", "LTM")</f>
        <v>#NAME?</v>
      </c>
      <c r="U447" s="9" t="e">
        <f t="shared" ca="1" si="6"/>
        <v>#NAME?</v>
      </c>
      <c r="Y447" s="1"/>
      <c r="Z447" s="1"/>
      <c r="AA447" s="10"/>
      <c r="AB447" s="1" t="s">
        <v>943</v>
      </c>
      <c r="AC447" s="1" t="s">
        <v>82</v>
      </c>
      <c r="AD447" s="10">
        <v>474.09850122</v>
      </c>
      <c r="AE447" s="1" t="s">
        <v>25</v>
      </c>
    </row>
    <row r="448" spans="1:31" x14ac:dyDescent="0.2">
      <c r="A448" s="1" t="s">
        <v>944</v>
      </c>
      <c r="B448" s="2">
        <v>-1.0629999999999999</v>
      </c>
      <c r="C448" s="3" t="s">
        <v>1408</v>
      </c>
      <c r="D448" s="2" t="s">
        <v>1408</v>
      </c>
      <c r="E448" s="2" t="s">
        <v>1408</v>
      </c>
      <c r="F448" s="4">
        <v>-0.56799999999999995</v>
      </c>
      <c r="G448" s="4" t="s">
        <v>1408</v>
      </c>
      <c r="H448" s="2">
        <v>3.7589999999999999</v>
      </c>
      <c r="I448" s="4" t="s">
        <v>1408</v>
      </c>
      <c r="J448" s="4" t="s">
        <v>1408</v>
      </c>
      <c r="K448" s="4">
        <v>3.2068189999999999</v>
      </c>
      <c r="L448" s="4">
        <v>73.475873000000007</v>
      </c>
      <c r="N448" s="5">
        <v>-39721.5</v>
      </c>
      <c r="O448" s="5">
        <v>884274</v>
      </c>
      <c r="P448" s="6">
        <v>-4.4919900392864656E-2</v>
      </c>
      <c r="Q448" s="1"/>
      <c r="R448" s="7" t="e">
        <f ca="1">_xll.SNL.Clients.Office.Excel.Functions.SPG(A448, "SP_TOTAL_DEBT", "LTM")</f>
        <v>#NAME?</v>
      </c>
      <c r="S448" s="8" t="e">
        <f ca="1">_xll.SNL.Clients.Office.Excel.Functions.SPG(A448, "SP_DEBT_TO_EQUITY", "LTM")</f>
        <v>#NAME?</v>
      </c>
      <c r="U448" s="9" t="e">
        <f t="shared" ca="1" si="6"/>
        <v>#NAME?</v>
      </c>
      <c r="Y448" s="1"/>
      <c r="Z448" s="1"/>
      <c r="AA448" s="10"/>
      <c r="AB448" s="1" t="s">
        <v>945</v>
      </c>
      <c r="AC448" s="1" t="s">
        <v>123</v>
      </c>
      <c r="AD448" s="10">
        <v>988.68676774343601</v>
      </c>
      <c r="AE448" s="1" t="s">
        <v>42</v>
      </c>
    </row>
    <row r="449" spans="1:31" x14ac:dyDescent="0.2">
      <c r="A449" s="1" t="s">
        <v>946</v>
      </c>
      <c r="B449" s="2">
        <v>5.7279999999999998</v>
      </c>
      <c r="C449" s="3">
        <v>-63.1460674157304</v>
      </c>
      <c r="D449" s="2">
        <v>10.081</v>
      </c>
      <c r="E449" s="2">
        <v>165.44632100000001</v>
      </c>
      <c r="F449" s="4">
        <v>3.7189999999999999</v>
      </c>
      <c r="G449" s="4">
        <v>5.5479047806413497</v>
      </c>
      <c r="H449" s="2">
        <v>0.93700000000000006</v>
      </c>
      <c r="I449" s="4">
        <v>0.58399999999999996</v>
      </c>
      <c r="J449" s="4" t="s">
        <v>1408</v>
      </c>
      <c r="K449" s="4">
        <v>9.4148130000000005</v>
      </c>
      <c r="L449" s="4">
        <v>34.229151000000002</v>
      </c>
      <c r="N449" s="5">
        <v>241887.5</v>
      </c>
      <c r="O449" s="5">
        <v>70900</v>
      </c>
      <c r="P449" s="6">
        <v>3.4116713681241184</v>
      </c>
      <c r="Q449" s="1"/>
      <c r="R449" s="7" t="e">
        <f ca="1">_xll.SNL.Clients.Office.Excel.Functions.SPG(A449, "SP_TOTAL_DEBT", "LTM")</f>
        <v>#NAME?</v>
      </c>
      <c r="S449" s="8" t="e">
        <f ca="1">_xll.SNL.Clients.Office.Excel.Functions.SPG(A449, "SP_DEBT_TO_EQUITY", "LTM")</f>
        <v>#NAME?</v>
      </c>
      <c r="U449" s="9" t="e">
        <f t="shared" ca="1" si="6"/>
        <v>#NAME?</v>
      </c>
      <c r="Y449" s="1"/>
      <c r="Z449" s="1"/>
      <c r="AA449" s="10"/>
      <c r="AB449" s="1" t="s">
        <v>947</v>
      </c>
      <c r="AC449" s="1" t="s">
        <v>156</v>
      </c>
      <c r="AD449" s="10">
        <v>11926.0535814</v>
      </c>
      <c r="AE449" s="1" t="s">
        <v>25</v>
      </c>
    </row>
    <row r="450" spans="1:31" x14ac:dyDescent="0.2">
      <c r="A450" s="1" t="s">
        <v>948</v>
      </c>
      <c r="B450" s="2">
        <v>6.2539999999999996</v>
      </c>
      <c r="C450" s="3">
        <v>-25.014997000599902</v>
      </c>
      <c r="D450" s="2">
        <v>-25.738</v>
      </c>
      <c r="E450" s="2">
        <v>10.36163</v>
      </c>
      <c r="F450" s="4">
        <v>2.8479999999999999</v>
      </c>
      <c r="G450" s="4">
        <v>23.321331564651601</v>
      </c>
      <c r="H450" s="2">
        <v>2.9340000000000002</v>
      </c>
      <c r="I450" s="4">
        <v>0.129</v>
      </c>
      <c r="J450" s="4">
        <v>34.369396294082499</v>
      </c>
      <c r="K450" s="4">
        <v>1.0343089999999999</v>
      </c>
      <c r="L450" s="4">
        <v>25.190923000000002</v>
      </c>
      <c r="N450" s="5">
        <v>779750</v>
      </c>
      <c r="O450" s="5">
        <v>455000</v>
      </c>
      <c r="P450" s="6">
        <v>1.7137362637362636</v>
      </c>
      <c r="Q450" s="1"/>
      <c r="R450" s="7" t="e">
        <f ca="1">_xll.SNL.Clients.Office.Excel.Functions.SPG(A450, "SP_TOTAL_DEBT", "LTM")</f>
        <v>#NAME?</v>
      </c>
      <c r="S450" s="8" t="e">
        <f ca="1">_xll.SNL.Clients.Office.Excel.Functions.SPG(A450, "SP_DEBT_TO_EQUITY", "LTM")</f>
        <v>#NAME?</v>
      </c>
      <c r="U450" s="9" t="e">
        <f t="shared" ca="1" si="6"/>
        <v>#NAME?</v>
      </c>
      <c r="Y450" s="1"/>
      <c r="Z450" s="1"/>
      <c r="AA450" s="10"/>
      <c r="AB450" s="1" t="s">
        <v>949</v>
      </c>
      <c r="AC450" s="1" t="s">
        <v>164</v>
      </c>
      <c r="AD450" s="10">
        <v>4351.4560000000001</v>
      </c>
      <c r="AE450" s="1" t="s">
        <v>25</v>
      </c>
    </row>
    <row r="451" spans="1:31" x14ac:dyDescent="0.2">
      <c r="A451" s="1" t="s">
        <v>950</v>
      </c>
      <c r="B451" s="2">
        <v>23.831</v>
      </c>
      <c r="C451" s="3">
        <v>34.235074626865703</v>
      </c>
      <c r="D451" s="2">
        <v>12.467000000000001</v>
      </c>
      <c r="E451" s="2">
        <v>40.444752999999999</v>
      </c>
      <c r="F451" s="4" t="s">
        <v>1408</v>
      </c>
      <c r="G451" s="4" t="s">
        <v>1408</v>
      </c>
      <c r="H451" s="2" t="s">
        <v>1408</v>
      </c>
      <c r="I451" s="4" t="s">
        <v>1408</v>
      </c>
      <c r="J451" s="4" t="s">
        <v>1408</v>
      </c>
      <c r="K451" s="4" t="s">
        <v>1409</v>
      </c>
      <c r="L451" s="4">
        <v>32.735295000000001</v>
      </c>
      <c r="N451" s="5" t="s">
        <v>1408</v>
      </c>
      <c r="O451" s="5">
        <v>1148592</v>
      </c>
      <c r="P451" s="6" t="e">
        <v>#VALUE!</v>
      </c>
      <c r="Q451" s="1"/>
      <c r="R451" s="7" t="e">
        <f ca="1">_xll.SNL.Clients.Office.Excel.Functions.SPG(A451, "SP_TOTAL_DEBT", "LTM")</f>
        <v>#NAME?</v>
      </c>
      <c r="S451" s="8" t="e">
        <f ca="1">_xll.SNL.Clients.Office.Excel.Functions.SPG(A451, "SP_DEBT_TO_EQUITY", "LTM")</f>
        <v>#NAME?</v>
      </c>
      <c r="U451" s="9" t="e">
        <f t="shared" ref="U451:U514" ca="1" si="7">N451/R451</f>
        <v>#VALUE!</v>
      </c>
      <c r="Y451" s="1"/>
      <c r="Z451" s="1"/>
      <c r="AA451" s="10"/>
      <c r="AB451" s="1" t="s">
        <v>951</v>
      </c>
      <c r="AC451" s="1" t="s">
        <v>156</v>
      </c>
      <c r="AD451" s="10">
        <v>47345.5681578</v>
      </c>
      <c r="AE451" s="1" t="s">
        <v>25</v>
      </c>
    </row>
    <row r="452" spans="1:31" x14ac:dyDescent="0.2">
      <c r="A452" s="1" t="s">
        <v>952</v>
      </c>
      <c r="B452" s="2" t="s">
        <v>1408</v>
      </c>
      <c r="C452" s="3" t="s">
        <v>1408</v>
      </c>
      <c r="D452" s="2" t="s">
        <v>1408</v>
      </c>
      <c r="E452" s="2" t="s">
        <v>1408</v>
      </c>
      <c r="F452" s="4" t="s">
        <v>1408</v>
      </c>
      <c r="G452" s="4" t="s">
        <v>1408</v>
      </c>
      <c r="H452" s="2" t="s">
        <v>1408</v>
      </c>
      <c r="I452" s="4" t="s">
        <v>1408</v>
      </c>
      <c r="J452" s="4" t="s">
        <v>1408</v>
      </c>
      <c r="K452" s="4" t="s">
        <v>1408</v>
      </c>
      <c r="L452" s="4" t="s">
        <v>1408</v>
      </c>
      <c r="N452" s="5" t="s">
        <v>1408</v>
      </c>
      <c r="O452" s="5" t="s">
        <v>1408</v>
      </c>
      <c r="P452" s="6" t="e">
        <v>#VALUE!</v>
      </c>
      <c r="Q452" s="1"/>
      <c r="R452" s="7" t="e">
        <f ca="1">_xll.SNL.Clients.Office.Excel.Functions.SPG(A452, "SP_TOTAL_DEBT", "LTM")</f>
        <v>#NAME?</v>
      </c>
      <c r="S452" s="8" t="e">
        <f ca="1">_xll.SNL.Clients.Office.Excel.Functions.SPG(A452, "SP_DEBT_TO_EQUITY", "LTM")</f>
        <v>#NAME?</v>
      </c>
      <c r="U452" s="9" t="e">
        <f t="shared" ca="1" si="7"/>
        <v>#VALUE!</v>
      </c>
      <c r="Y452" s="1"/>
      <c r="Z452" s="1"/>
      <c r="AA452" s="10"/>
      <c r="AB452" s="1" t="s">
        <v>953</v>
      </c>
      <c r="AC452" s="1" t="s">
        <v>37</v>
      </c>
      <c r="AD452" s="10">
        <v>398.40625</v>
      </c>
      <c r="AE452" s="1" t="s">
        <v>25</v>
      </c>
    </row>
    <row r="453" spans="1:31" x14ac:dyDescent="0.2">
      <c r="A453" s="1" t="s">
        <v>954</v>
      </c>
      <c r="B453" s="2">
        <v>6.8109999999999999</v>
      </c>
      <c r="C453" s="3">
        <v>-7.9646017699114902</v>
      </c>
      <c r="D453" s="2">
        <v>-2.6019999999999999</v>
      </c>
      <c r="E453" s="2">
        <v>27.076923000000001</v>
      </c>
      <c r="F453" s="4">
        <v>4.3259999999999996</v>
      </c>
      <c r="G453" s="4">
        <v>15.430375358113899</v>
      </c>
      <c r="H453" s="2">
        <v>1.008</v>
      </c>
      <c r="I453" s="4">
        <v>0.22800000000000001</v>
      </c>
      <c r="J453" s="4" t="s">
        <v>1408</v>
      </c>
      <c r="K453" s="4">
        <v>2.8487610000000001</v>
      </c>
      <c r="L453" s="4">
        <v>19.198402999999999</v>
      </c>
      <c r="N453" s="5" t="s">
        <v>1408</v>
      </c>
      <c r="O453" s="5">
        <v>1057000</v>
      </c>
      <c r="P453" s="6" t="e">
        <v>#VALUE!</v>
      </c>
      <c r="Q453" s="1"/>
      <c r="R453" s="7" t="e">
        <f ca="1">_xll.SNL.Clients.Office.Excel.Functions.SPG(A453, "SP_TOTAL_DEBT", "LTM")</f>
        <v>#NAME?</v>
      </c>
      <c r="S453" s="8" t="e">
        <f ca="1">_xll.SNL.Clients.Office.Excel.Functions.SPG(A453, "SP_DEBT_TO_EQUITY", "LTM")</f>
        <v>#NAME?</v>
      </c>
      <c r="U453" s="9" t="e">
        <f t="shared" ca="1" si="7"/>
        <v>#VALUE!</v>
      </c>
      <c r="Y453" s="1"/>
      <c r="Z453" s="1"/>
      <c r="AA453" s="10"/>
      <c r="AB453" s="1" t="s">
        <v>955</v>
      </c>
      <c r="AC453" s="1" t="s">
        <v>177</v>
      </c>
      <c r="AD453" s="10">
        <v>33331.243208899999</v>
      </c>
      <c r="AE453" s="1" t="s">
        <v>25</v>
      </c>
    </row>
    <row r="454" spans="1:31" x14ac:dyDescent="0.2">
      <c r="A454" s="1" t="s">
        <v>956</v>
      </c>
      <c r="B454" s="2" t="s">
        <v>1408</v>
      </c>
      <c r="C454" s="3">
        <v>70.642201834862405</v>
      </c>
      <c r="D454" s="2">
        <v>40.371000000000002</v>
      </c>
      <c r="E454" s="2">
        <v>8.9838710000000006</v>
      </c>
      <c r="F454" s="4">
        <v>1.4550000000000001</v>
      </c>
      <c r="G454" s="4">
        <v>12.2902601453395</v>
      </c>
      <c r="H454" s="2" t="s">
        <v>1408</v>
      </c>
      <c r="I454" s="4" t="s">
        <v>1408</v>
      </c>
      <c r="J454" s="4" t="s">
        <v>1408</v>
      </c>
      <c r="K454" s="4">
        <v>1.0411859999999999</v>
      </c>
      <c r="L454" s="4" t="s">
        <v>1408</v>
      </c>
      <c r="N454" s="5" t="s">
        <v>1408</v>
      </c>
      <c r="O454" s="5">
        <v>142048</v>
      </c>
      <c r="P454" s="6" t="e">
        <v>#VALUE!</v>
      </c>
      <c r="Q454" s="1"/>
      <c r="R454" s="7" t="e">
        <f ca="1">_xll.SNL.Clients.Office.Excel.Functions.SPG(A454, "SP_TOTAL_DEBT", "LTM")</f>
        <v>#NAME?</v>
      </c>
      <c r="S454" s="8" t="e">
        <f ca="1">_xll.SNL.Clients.Office.Excel.Functions.SPG(A454, "SP_DEBT_TO_EQUITY", "LTM")</f>
        <v>#NAME?</v>
      </c>
      <c r="U454" s="9" t="e">
        <f t="shared" ca="1" si="7"/>
        <v>#VALUE!</v>
      </c>
      <c r="Y454" s="1"/>
      <c r="Z454" s="1"/>
      <c r="AA454" s="10"/>
      <c r="AB454" s="1" t="s">
        <v>957</v>
      </c>
      <c r="AC454" s="1" t="s">
        <v>34</v>
      </c>
      <c r="AD454" s="10">
        <v>1322.469785</v>
      </c>
      <c r="AE454" s="1" t="s">
        <v>25</v>
      </c>
    </row>
    <row r="455" spans="1:31" x14ac:dyDescent="0.2">
      <c r="A455" s="1" t="s">
        <v>958</v>
      </c>
      <c r="B455" s="2" t="s">
        <v>1408</v>
      </c>
      <c r="C455" s="3">
        <v>-2.4520191551027901</v>
      </c>
      <c r="D455" s="2">
        <v>2.798</v>
      </c>
      <c r="E455" s="2">
        <v>10.863538999999999</v>
      </c>
      <c r="F455" s="4">
        <v>0.80600000000000005</v>
      </c>
      <c r="G455" s="4">
        <v>14.761209224096</v>
      </c>
      <c r="H455" s="2" t="s">
        <v>1408</v>
      </c>
      <c r="I455" s="4" t="s">
        <v>1408</v>
      </c>
      <c r="J455" s="4">
        <v>39.1011012997321</v>
      </c>
      <c r="K455" s="4">
        <v>1.5650200000000001</v>
      </c>
      <c r="L455" s="4" t="s">
        <v>1408</v>
      </c>
      <c r="N455" s="5" t="s">
        <v>1408</v>
      </c>
      <c r="O455" s="5">
        <v>3335000</v>
      </c>
      <c r="P455" s="6" t="e">
        <v>#VALUE!</v>
      </c>
      <c r="Q455" s="1"/>
      <c r="R455" s="7" t="e">
        <f ca="1">_xll.SNL.Clients.Office.Excel.Functions.SPG(A455, "SP_TOTAL_DEBT", "LTM")</f>
        <v>#NAME?</v>
      </c>
      <c r="S455" s="8" t="e">
        <f ca="1">_xll.SNL.Clients.Office.Excel.Functions.SPG(A455, "SP_DEBT_TO_EQUITY", "LTM")</f>
        <v>#NAME?</v>
      </c>
      <c r="U455" s="9" t="e">
        <f t="shared" ca="1" si="7"/>
        <v>#VALUE!</v>
      </c>
      <c r="Y455" s="1"/>
      <c r="Z455" s="1"/>
      <c r="AA455" s="10"/>
      <c r="AB455" s="1" t="s">
        <v>959</v>
      </c>
      <c r="AC455" s="1" t="s">
        <v>34</v>
      </c>
      <c r="AD455" s="10">
        <v>26057.369181218201</v>
      </c>
      <c r="AE455" s="1" t="s">
        <v>25</v>
      </c>
    </row>
    <row r="456" spans="1:31" x14ac:dyDescent="0.2">
      <c r="A456" s="1" t="s">
        <v>960</v>
      </c>
      <c r="B456" s="2">
        <v>6.6559999999999997</v>
      </c>
      <c r="C456" s="3" t="s">
        <v>1408</v>
      </c>
      <c r="D456" s="2">
        <v>93.135000000000005</v>
      </c>
      <c r="E456" s="2" t="s">
        <v>1409</v>
      </c>
      <c r="F456" s="4">
        <v>6.649</v>
      </c>
      <c r="G456" s="4" t="s">
        <v>1408</v>
      </c>
      <c r="H456" s="2">
        <v>77.953999999999994</v>
      </c>
      <c r="I456" s="4">
        <v>0.108</v>
      </c>
      <c r="J456" s="4" t="s">
        <v>1408</v>
      </c>
      <c r="K456" s="4">
        <v>0.68580799999999997</v>
      </c>
      <c r="L456" s="4">
        <v>4.9631879999999997</v>
      </c>
      <c r="N456" s="5">
        <v>259985.75</v>
      </c>
      <c r="O456" s="5">
        <v>-455104</v>
      </c>
      <c r="P456" s="6">
        <v>-0.57126667750667981</v>
      </c>
      <c r="Q456" s="1"/>
      <c r="R456" s="7" t="e">
        <f ca="1">_xll.SNL.Clients.Office.Excel.Functions.SPG(A456, "SP_TOTAL_DEBT", "LTM")</f>
        <v>#NAME?</v>
      </c>
      <c r="S456" s="8" t="e">
        <f ca="1">_xll.SNL.Clients.Office.Excel.Functions.SPG(A456, "SP_DEBT_TO_EQUITY", "LTM")</f>
        <v>#NAME?</v>
      </c>
      <c r="U456" s="9" t="e">
        <f t="shared" ca="1" si="7"/>
        <v>#NAME?</v>
      </c>
      <c r="Y456" s="1"/>
      <c r="Z456" s="1"/>
      <c r="AA456" s="10"/>
      <c r="AB456" s="1" t="s">
        <v>961</v>
      </c>
      <c r="AC456" s="1" t="s">
        <v>123</v>
      </c>
      <c r="AD456" s="10">
        <v>334.35905721991901</v>
      </c>
      <c r="AE456" s="1" t="s">
        <v>42</v>
      </c>
    </row>
    <row r="457" spans="1:31" x14ac:dyDescent="0.2">
      <c r="A457" s="1" t="s">
        <v>962</v>
      </c>
      <c r="B457" s="2">
        <v>3.464</v>
      </c>
      <c r="C457" s="3">
        <v>-44.020676546625701</v>
      </c>
      <c r="D457" s="2">
        <v>-31.902000000000001</v>
      </c>
      <c r="E457" s="2" t="s">
        <v>1409</v>
      </c>
      <c r="F457" s="4">
        <v>-0.06</v>
      </c>
      <c r="G457" s="4">
        <v>4.7019680751597104</v>
      </c>
      <c r="H457" s="2">
        <v>32.47</v>
      </c>
      <c r="I457" s="4">
        <v>5.1999999999999998E-2</v>
      </c>
      <c r="J457" s="4" t="s">
        <v>1408</v>
      </c>
      <c r="K457" s="4">
        <v>0.78349199999999997</v>
      </c>
      <c r="L457" s="4" t="s">
        <v>1409</v>
      </c>
      <c r="N457" s="5">
        <v>672381.375</v>
      </c>
      <c r="O457" s="5">
        <v>119097</v>
      </c>
      <c r="P457" s="6">
        <v>5.6456617295145977</v>
      </c>
      <c r="Q457" s="1"/>
      <c r="R457" s="7" t="e">
        <f ca="1">_xll.SNL.Clients.Office.Excel.Functions.SPG(A457, "SP_TOTAL_DEBT", "LTM")</f>
        <v>#NAME?</v>
      </c>
      <c r="S457" s="8" t="e">
        <f ca="1">_xll.SNL.Clients.Office.Excel.Functions.SPG(A457, "SP_DEBT_TO_EQUITY", "LTM")</f>
        <v>#NAME?</v>
      </c>
      <c r="U457" s="9" t="e">
        <f t="shared" ca="1" si="7"/>
        <v>#NAME?</v>
      </c>
      <c r="Y457" s="1"/>
      <c r="Z457" s="1"/>
      <c r="AA457" s="10"/>
      <c r="AB457" s="1" t="s">
        <v>963</v>
      </c>
      <c r="AC457" s="1" t="s">
        <v>60</v>
      </c>
      <c r="AD457" s="10">
        <v>1759.83368</v>
      </c>
      <c r="AE457" s="1" t="s">
        <v>25</v>
      </c>
    </row>
    <row r="458" spans="1:31" x14ac:dyDescent="0.2">
      <c r="A458" s="1" t="s">
        <v>964</v>
      </c>
      <c r="B458" s="2" t="s">
        <v>1408</v>
      </c>
      <c r="C458" s="3">
        <v>-58.797327394209397</v>
      </c>
      <c r="D458" s="2">
        <v>-30.277999999999999</v>
      </c>
      <c r="E458" s="2">
        <v>8.627027</v>
      </c>
      <c r="F458" s="4">
        <v>0.34499999999999997</v>
      </c>
      <c r="G458" s="4">
        <v>7.8253035308249999</v>
      </c>
      <c r="H458" s="2">
        <v>13.635</v>
      </c>
      <c r="I458" s="4">
        <v>1.7000000000000001E-2</v>
      </c>
      <c r="J458" s="4">
        <v>25.097732603596601</v>
      </c>
      <c r="K458" s="4">
        <v>0.65920400000000001</v>
      </c>
      <c r="L458" s="4" t="s">
        <v>1408</v>
      </c>
      <c r="N458" s="5" t="s">
        <v>1408</v>
      </c>
      <c r="O458" s="5">
        <v>228000</v>
      </c>
      <c r="P458" s="6" t="e">
        <v>#VALUE!</v>
      </c>
      <c r="Q458" s="1"/>
      <c r="R458" s="7" t="e">
        <f ca="1">_xll.SNL.Clients.Office.Excel.Functions.SPG(A458, "SP_TOTAL_DEBT", "LTM")</f>
        <v>#NAME?</v>
      </c>
      <c r="S458" s="8" t="e">
        <f ca="1">_xll.SNL.Clients.Office.Excel.Functions.SPG(A458, "SP_DEBT_TO_EQUITY", "LTM")</f>
        <v>#NAME?</v>
      </c>
      <c r="U458" s="9" t="e">
        <f t="shared" ca="1" si="7"/>
        <v>#VALUE!</v>
      </c>
      <c r="Y458" s="1"/>
      <c r="Z458" s="1"/>
      <c r="AA458" s="10"/>
      <c r="AB458" s="1" t="s">
        <v>965</v>
      </c>
      <c r="AC458" s="1" t="s">
        <v>161</v>
      </c>
      <c r="AD458" s="10">
        <v>2024.57418702</v>
      </c>
      <c r="AE458" s="1" t="s">
        <v>25</v>
      </c>
    </row>
    <row r="459" spans="1:31" x14ac:dyDescent="0.2">
      <c r="A459" s="1" t="s">
        <v>966</v>
      </c>
      <c r="B459" s="2" t="s">
        <v>1408</v>
      </c>
      <c r="C459" s="3" t="s">
        <v>1408</v>
      </c>
      <c r="D459" s="2">
        <v>25.827999999999999</v>
      </c>
      <c r="E459" s="2" t="s">
        <v>1408</v>
      </c>
      <c r="F459" s="4" t="s">
        <v>1408</v>
      </c>
      <c r="G459" s="4">
        <v>9.0592156011956408</v>
      </c>
      <c r="H459" s="2" t="s">
        <v>1408</v>
      </c>
      <c r="I459" s="4" t="s">
        <v>1408</v>
      </c>
      <c r="J459" s="4">
        <v>29.530679620122498</v>
      </c>
      <c r="K459" s="4" t="s">
        <v>1408</v>
      </c>
      <c r="L459" s="4" t="s">
        <v>1408</v>
      </c>
      <c r="N459" s="5" t="s">
        <v>1408</v>
      </c>
      <c r="O459" s="5">
        <v>35472</v>
      </c>
      <c r="P459" s="6" t="e">
        <v>#VALUE!</v>
      </c>
      <c r="Q459" s="1"/>
      <c r="R459" s="7" t="e">
        <f ca="1">_xll.SNL.Clients.Office.Excel.Functions.SPG(A459, "SP_TOTAL_DEBT", "LTM")</f>
        <v>#NAME?</v>
      </c>
      <c r="S459" s="8" t="e">
        <f ca="1">_xll.SNL.Clients.Office.Excel.Functions.SPG(A459, "SP_DEBT_TO_EQUITY", "LTM")</f>
        <v>#NAME?</v>
      </c>
      <c r="U459" s="9" t="e">
        <f t="shared" ca="1" si="7"/>
        <v>#VALUE!</v>
      </c>
      <c r="Y459" s="1"/>
      <c r="Z459" s="1"/>
      <c r="AA459" s="10"/>
      <c r="AB459" s="1" t="s">
        <v>967</v>
      </c>
      <c r="AC459" s="1" t="s">
        <v>34</v>
      </c>
      <c r="AD459" s="10">
        <v>597.45314871000005</v>
      </c>
      <c r="AE459" s="1" t="s">
        <v>25</v>
      </c>
    </row>
    <row r="460" spans="1:31" x14ac:dyDescent="0.2">
      <c r="A460" s="1" t="s">
        <v>968</v>
      </c>
      <c r="B460" s="2" t="s">
        <v>1408</v>
      </c>
      <c r="C460" s="3">
        <v>-24.715909090909101</v>
      </c>
      <c r="D460" s="2">
        <v>-2.0470000000000002</v>
      </c>
      <c r="E460" s="2">
        <v>12.739623</v>
      </c>
      <c r="F460" s="4">
        <v>0.94799999999999995</v>
      </c>
      <c r="G460" s="4">
        <v>9.3357635147402505</v>
      </c>
      <c r="H460" s="2" t="s">
        <v>1408</v>
      </c>
      <c r="I460" s="4" t="s">
        <v>1408</v>
      </c>
      <c r="J460" s="4">
        <v>33.509152143051303</v>
      </c>
      <c r="K460" s="4">
        <v>1.1120989999999999</v>
      </c>
      <c r="L460" s="4" t="s">
        <v>1408</v>
      </c>
      <c r="N460" s="5" t="s">
        <v>1408</v>
      </c>
      <c r="O460" s="5">
        <v>118782</v>
      </c>
      <c r="P460" s="6" t="e">
        <v>#VALUE!</v>
      </c>
      <c r="Q460" s="1"/>
      <c r="R460" s="7" t="e">
        <f ca="1">_xll.SNL.Clients.Office.Excel.Functions.SPG(A460, "SP_TOTAL_DEBT", "LTM")</f>
        <v>#NAME?</v>
      </c>
      <c r="S460" s="8" t="e">
        <f ca="1">_xll.SNL.Clients.Office.Excel.Functions.SPG(A460, "SP_DEBT_TO_EQUITY", "LTM")</f>
        <v>#NAME?</v>
      </c>
      <c r="U460" s="9" t="e">
        <f t="shared" ca="1" si="7"/>
        <v>#VALUE!</v>
      </c>
      <c r="Y460" s="1"/>
      <c r="Z460" s="1"/>
      <c r="AA460" s="10"/>
      <c r="AB460" s="1" t="s">
        <v>969</v>
      </c>
      <c r="AC460" s="1" t="s">
        <v>34</v>
      </c>
      <c r="AD460" s="10">
        <v>1674.9154647600001</v>
      </c>
      <c r="AE460" s="1" t="s">
        <v>25</v>
      </c>
    </row>
    <row r="461" spans="1:31" x14ac:dyDescent="0.2">
      <c r="A461" s="1" t="s">
        <v>970</v>
      </c>
      <c r="B461" s="2" t="s">
        <v>1408</v>
      </c>
      <c r="C461" s="3" t="s">
        <v>1408</v>
      </c>
      <c r="D461" s="2">
        <v>-5.54</v>
      </c>
      <c r="E461" s="2">
        <v>20.590551000000001</v>
      </c>
      <c r="F461" s="4">
        <v>0.71299999999999997</v>
      </c>
      <c r="G461" s="4">
        <v>6.8397655203177603</v>
      </c>
      <c r="H461" s="2" t="s">
        <v>1408</v>
      </c>
      <c r="I461" s="4" t="s">
        <v>1408</v>
      </c>
      <c r="J461" s="4">
        <v>13.9653363115217</v>
      </c>
      <c r="K461" s="4">
        <v>0.91908199999999995</v>
      </c>
      <c r="L461" s="4" t="s">
        <v>1408</v>
      </c>
      <c r="N461" s="5" t="s">
        <v>1408</v>
      </c>
      <c r="O461" s="5">
        <v>15335927</v>
      </c>
      <c r="P461" s="6" t="e">
        <v>#VALUE!</v>
      </c>
      <c r="Q461" s="1"/>
      <c r="R461" s="7" t="e">
        <f ca="1">_xll.SNL.Clients.Office.Excel.Functions.SPG(A461, "SP_TOTAL_DEBT", "LTM")</f>
        <v>#NAME?</v>
      </c>
      <c r="S461" s="8" t="e">
        <f ca="1">_xll.SNL.Clients.Office.Excel.Functions.SPG(A461, "SP_DEBT_TO_EQUITY", "LTM")</f>
        <v>#NAME?</v>
      </c>
      <c r="U461" s="9" t="e">
        <f t="shared" ca="1" si="7"/>
        <v>#VALUE!</v>
      </c>
      <c r="Y461" s="1"/>
      <c r="Z461" s="1"/>
      <c r="AA461" s="10"/>
      <c r="AB461" s="1" t="s">
        <v>971</v>
      </c>
      <c r="AC461" s="1" t="s">
        <v>34</v>
      </c>
      <c r="AD461" s="10">
        <v>1031.3710469432999</v>
      </c>
      <c r="AE461" s="1" t="s">
        <v>42</v>
      </c>
    </row>
    <row r="462" spans="1:31" x14ac:dyDescent="0.2">
      <c r="A462" s="1" t="s">
        <v>972</v>
      </c>
      <c r="B462" s="2">
        <v>-4.843</v>
      </c>
      <c r="C462" s="3" t="s">
        <v>1408</v>
      </c>
      <c r="D462" s="2">
        <v>49.094000000000001</v>
      </c>
      <c r="E462" s="2" t="s">
        <v>1409</v>
      </c>
      <c r="F462" s="4">
        <v>-2.637</v>
      </c>
      <c r="G462" s="4" t="s">
        <v>1408</v>
      </c>
      <c r="H462" s="2">
        <v>1.103</v>
      </c>
      <c r="I462" s="4">
        <v>0.36099999999999999</v>
      </c>
      <c r="J462" s="4" t="s">
        <v>1408</v>
      </c>
      <c r="K462" s="4">
        <v>3.4285709999999998</v>
      </c>
      <c r="L462" s="4" t="s">
        <v>1409</v>
      </c>
      <c r="N462" s="5">
        <v>54126</v>
      </c>
      <c r="O462" s="5">
        <v>-66672</v>
      </c>
      <c r="P462" s="6">
        <v>-0.81182505399568039</v>
      </c>
      <c r="Q462" s="1"/>
      <c r="R462" s="7" t="e">
        <f ca="1">_xll.SNL.Clients.Office.Excel.Functions.SPG(A462, "SP_TOTAL_DEBT", "LTM")</f>
        <v>#NAME?</v>
      </c>
      <c r="S462" s="8" t="e">
        <f ca="1">_xll.SNL.Clients.Office.Excel.Functions.SPG(A462, "SP_DEBT_TO_EQUITY", "LTM")</f>
        <v>#NAME?</v>
      </c>
      <c r="U462" s="9" t="e">
        <f t="shared" ca="1" si="7"/>
        <v>#NAME?</v>
      </c>
      <c r="Y462" s="1"/>
      <c r="Z462" s="1"/>
      <c r="AA462" s="10"/>
      <c r="AB462" s="1" t="s">
        <v>973</v>
      </c>
      <c r="AC462" s="1" t="s">
        <v>77</v>
      </c>
      <c r="AD462" s="10">
        <v>3561.43023984</v>
      </c>
      <c r="AE462" s="1" t="s">
        <v>25</v>
      </c>
    </row>
    <row r="463" spans="1:31" x14ac:dyDescent="0.2">
      <c r="A463" s="1" t="s">
        <v>974</v>
      </c>
      <c r="B463" s="2">
        <v>3.8010000000000002</v>
      </c>
      <c r="C463" s="3" t="s">
        <v>1408</v>
      </c>
      <c r="D463" s="2">
        <v>16.399000000000001</v>
      </c>
      <c r="E463" s="2">
        <v>40.483271000000002</v>
      </c>
      <c r="F463" s="4" t="s">
        <v>1408</v>
      </c>
      <c r="G463" s="4">
        <v>3.8227938549482001</v>
      </c>
      <c r="H463" s="2">
        <v>1.218</v>
      </c>
      <c r="I463" s="4" t="s">
        <v>1408</v>
      </c>
      <c r="J463" s="4" t="s">
        <v>1408</v>
      </c>
      <c r="K463" s="4">
        <v>0.42831900000000001</v>
      </c>
      <c r="L463" s="4">
        <v>6.0110210000000004</v>
      </c>
      <c r="N463" s="5" t="s">
        <v>1408</v>
      </c>
      <c r="O463" s="5">
        <v>37000</v>
      </c>
      <c r="P463" s="6" t="e">
        <v>#VALUE!</v>
      </c>
      <c r="Q463" s="1"/>
      <c r="R463" s="7" t="e">
        <f ca="1">_xll.SNL.Clients.Office.Excel.Functions.SPG(A463, "SP_TOTAL_DEBT", "LTM")</f>
        <v>#NAME?</v>
      </c>
      <c r="S463" s="8" t="e">
        <f ca="1">_xll.SNL.Clients.Office.Excel.Functions.SPG(A463, "SP_DEBT_TO_EQUITY", "LTM")</f>
        <v>#NAME?</v>
      </c>
      <c r="U463" s="9" t="e">
        <f t="shared" ca="1" si="7"/>
        <v>#VALUE!</v>
      </c>
      <c r="Y463" s="1"/>
      <c r="Z463" s="1"/>
      <c r="AA463" s="10"/>
      <c r="AB463" s="1" t="s">
        <v>975</v>
      </c>
      <c r="AC463" s="1" t="s">
        <v>167</v>
      </c>
      <c r="AD463" s="10">
        <v>1580.7339999999999</v>
      </c>
      <c r="AE463" s="1" t="s">
        <v>25</v>
      </c>
    </row>
    <row r="464" spans="1:31" x14ac:dyDescent="0.2">
      <c r="A464" s="1" t="s">
        <v>976</v>
      </c>
      <c r="B464" s="2">
        <v>5.2030000000000003</v>
      </c>
      <c r="C464" s="3">
        <v>-41.379310344827601</v>
      </c>
      <c r="D464" s="2">
        <v>9.6140000000000008</v>
      </c>
      <c r="E464" s="2" t="s">
        <v>1409</v>
      </c>
      <c r="F464" s="4">
        <v>4.1539999999999999</v>
      </c>
      <c r="G464" s="4">
        <v>4.2807908579720699</v>
      </c>
      <c r="H464" s="2">
        <v>1.1539999999999999</v>
      </c>
      <c r="I464" s="4">
        <v>0.63200000000000001</v>
      </c>
      <c r="J464" s="4" t="s">
        <v>1408</v>
      </c>
      <c r="K464" s="4">
        <v>1.540516</v>
      </c>
      <c r="L464" s="4">
        <v>6.9954239999999999</v>
      </c>
      <c r="N464" s="5">
        <v>1120375</v>
      </c>
      <c r="O464" s="5">
        <v>-113000</v>
      </c>
      <c r="P464" s="6">
        <v>-9.9148230088495577</v>
      </c>
      <c r="Q464" s="1"/>
      <c r="R464" s="7" t="e">
        <f ca="1">_xll.SNL.Clients.Office.Excel.Functions.SPG(A464, "SP_TOTAL_DEBT", "LTM")</f>
        <v>#NAME?</v>
      </c>
      <c r="S464" s="8" t="e">
        <f ca="1">_xll.SNL.Clients.Office.Excel.Functions.SPG(A464, "SP_DEBT_TO_EQUITY", "LTM")</f>
        <v>#NAME?</v>
      </c>
      <c r="U464" s="9" t="e">
        <f t="shared" ca="1" si="7"/>
        <v>#NAME?</v>
      </c>
      <c r="Y464" s="1"/>
      <c r="Z464" s="1"/>
      <c r="AA464" s="10"/>
      <c r="AB464" s="1" t="s">
        <v>977</v>
      </c>
      <c r="AC464" s="1" t="s">
        <v>77</v>
      </c>
      <c r="AD464" s="10">
        <v>2075.64</v>
      </c>
      <c r="AE464" s="1" t="s">
        <v>25</v>
      </c>
    </row>
    <row r="465" spans="1:31" x14ac:dyDescent="0.2">
      <c r="A465" s="1" t="s">
        <v>978</v>
      </c>
      <c r="B465" s="2" t="s">
        <v>1408</v>
      </c>
      <c r="C465" s="3">
        <v>6.1764705882352997</v>
      </c>
      <c r="D465" s="2">
        <v>11.515000000000001</v>
      </c>
      <c r="E465" s="2">
        <v>25.281509</v>
      </c>
      <c r="F465" s="4">
        <v>0.61099999999999999</v>
      </c>
      <c r="G465" s="4">
        <v>12.7624771749788</v>
      </c>
      <c r="H465" s="2">
        <v>13.256</v>
      </c>
      <c r="I465" s="4">
        <v>6.7000000000000004E-2</v>
      </c>
      <c r="J465" s="4">
        <v>12.2390012081175</v>
      </c>
      <c r="K465" s="4">
        <v>1.0020389999999999</v>
      </c>
      <c r="L465" s="4" t="s">
        <v>1408</v>
      </c>
      <c r="N465" s="5" t="s">
        <v>1408</v>
      </c>
      <c r="O465" s="5">
        <v>112331</v>
      </c>
      <c r="P465" s="6" t="e">
        <v>#VALUE!</v>
      </c>
      <c r="Q465" s="1"/>
      <c r="R465" s="7" t="e">
        <f ca="1">_xll.SNL.Clients.Office.Excel.Functions.SPG(A465, "SP_TOTAL_DEBT", "LTM")</f>
        <v>#NAME?</v>
      </c>
      <c r="S465" s="8" t="e">
        <f ca="1">_xll.SNL.Clients.Office.Excel.Functions.SPG(A465, "SP_DEBT_TO_EQUITY", "LTM")</f>
        <v>#NAME?</v>
      </c>
      <c r="U465" s="9" t="e">
        <f t="shared" ca="1" si="7"/>
        <v>#VALUE!</v>
      </c>
      <c r="Y465" s="1"/>
      <c r="Z465" s="1"/>
      <c r="AA465" s="10"/>
      <c r="AB465" s="1" t="s">
        <v>979</v>
      </c>
      <c r="AC465" s="1" t="s">
        <v>161</v>
      </c>
      <c r="AD465" s="10">
        <v>3252.0047452200001</v>
      </c>
      <c r="AE465" s="1" t="s">
        <v>25</v>
      </c>
    </row>
    <row r="466" spans="1:31" x14ac:dyDescent="0.2">
      <c r="A466" s="1" t="s">
        <v>980</v>
      </c>
      <c r="B466" s="2">
        <v>-1.754</v>
      </c>
      <c r="C466" s="3" t="s">
        <v>1408</v>
      </c>
      <c r="D466" s="2">
        <v>41.965000000000003</v>
      </c>
      <c r="E466" s="2" t="s">
        <v>1409</v>
      </c>
      <c r="F466" s="4">
        <v>1.048</v>
      </c>
      <c r="G466" s="4" t="s">
        <v>1408</v>
      </c>
      <c r="H466" s="2">
        <v>4.3289999999999997</v>
      </c>
      <c r="I466" s="4">
        <v>1.341</v>
      </c>
      <c r="J466" s="4" t="s">
        <v>1408</v>
      </c>
      <c r="K466" s="4">
        <v>3.1775899999999999</v>
      </c>
      <c r="L466" s="4">
        <v>37.308701999999997</v>
      </c>
      <c r="N466" s="5">
        <v>23050</v>
      </c>
      <c r="O466" s="5">
        <v>-600</v>
      </c>
      <c r="P466" s="6">
        <v>-38.416666666666664</v>
      </c>
      <c r="Q466" s="1"/>
      <c r="R466" s="7" t="e">
        <f ca="1">_xll.SNL.Clients.Office.Excel.Functions.SPG(A466, "SP_TOTAL_DEBT", "LTM")</f>
        <v>#NAME?</v>
      </c>
      <c r="S466" s="8" t="e">
        <f ca="1">_xll.SNL.Clients.Office.Excel.Functions.SPG(A466, "SP_DEBT_TO_EQUITY", "LTM")</f>
        <v>#NAME?</v>
      </c>
      <c r="U466" s="9" t="e">
        <f t="shared" ca="1" si="7"/>
        <v>#NAME?</v>
      </c>
      <c r="Y466" s="1"/>
      <c r="Z466" s="1"/>
      <c r="AA466" s="10"/>
      <c r="AB466" s="1" t="s">
        <v>981</v>
      </c>
      <c r="AC466" s="1" t="s">
        <v>319</v>
      </c>
      <c r="AD466" s="10">
        <v>1165.4766589000001</v>
      </c>
      <c r="AE466" s="1" t="s">
        <v>25</v>
      </c>
    </row>
    <row r="467" spans="1:31" x14ac:dyDescent="0.2">
      <c r="A467" s="1" t="s">
        <v>982</v>
      </c>
      <c r="B467" s="2" t="s">
        <v>1408</v>
      </c>
      <c r="C467" s="3">
        <v>157.142857142857</v>
      </c>
      <c r="D467" s="2">
        <v>107.254</v>
      </c>
      <c r="E467" s="2">
        <v>1.2962959999999999</v>
      </c>
      <c r="F467" s="4">
        <v>2.2999999999999998</v>
      </c>
      <c r="G467" s="4">
        <v>22.421609369097101</v>
      </c>
      <c r="H467" s="2" t="s">
        <v>1408</v>
      </c>
      <c r="I467" s="4" t="s">
        <v>1408</v>
      </c>
      <c r="J467" s="4">
        <v>17.226197028068199</v>
      </c>
      <c r="K467" s="4">
        <v>0.29401500000000003</v>
      </c>
      <c r="L467" s="4" t="s">
        <v>1408</v>
      </c>
      <c r="N467" s="5" t="s">
        <v>1408</v>
      </c>
      <c r="O467" s="5">
        <v>2374000</v>
      </c>
      <c r="P467" s="6" t="e">
        <v>#VALUE!</v>
      </c>
      <c r="Q467" s="1"/>
      <c r="R467" s="7" t="e">
        <f ca="1">_xll.SNL.Clients.Office.Excel.Functions.SPG(A467, "SP_TOTAL_DEBT", "LTM")</f>
        <v>#NAME?</v>
      </c>
      <c r="S467" s="8" t="e">
        <f ca="1">_xll.SNL.Clients.Office.Excel.Functions.SPG(A467, "SP_DEBT_TO_EQUITY", "LTM")</f>
        <v>#NAME?</v>
      </c>
      <c r="U467" s="9" t="e">
        <f t="shared" ca="1" si="7"/>
        <v>#VALUE!</v>
      </c>
      <c r="Y467" s="1"/>
      <c r="Z467" s="1"/>
      <c r="AA467" s="10"/>
      <c r="AB467" s="1" t="s">
        <v>983</v>
      </c>
      <c r="AC467" s="1" t="s">
        <v>34</v>
      </c>
      <c r="AD467" s="10">
        <v>4674.4980911100001</v>
      </c>
      <c r="AE467" s="1" t="s">
        <v>25</v>
      </c>
    </row>
    <row r="468" spans="1:31" x14ac:dyDescent="0.2">
      <c r="A468" s="1" t="s">
        <v>984</v>
      </c>
      <c r="B468" s="2" t="s">
        <v>1408</v>
      </c>
      <c r="C468" s="3" t="s">
        <v>1409</v>
      </c>
      <c r="D468" s="2" t="s">
        <v>1409</v>
      </c>
      <c r="E468" s="2" t="s">
        <v>1409</v>
      </c>
      <c r="F468" s="4">
        <v>-2.2429999999999999</v>
      </c>
      <c r="G468" s="4">
        <v>-16.194311389735301</v>
      </c>
      <c r="H468" s="2">
        <v>5.2119999999999997</v>
      </c>
      <c r="I468" s="4">
        <v>1.4999999999999999E-2</v>
      </c>
      <c r="J468" s="4" t="s">
        <v>1408</v>
      </c>
      <c r="K468" s="4">
        <v>0.65934099999999995</v>
      </c>
      <c r="L468" s="4" t="s">
        <v>1408</v>
      </c>
      <c r="N468" s="5" t="s">
        <v>1408</v>
      </c>
      <c r="O468" s="5">
        <v>-153748</v>
      </c>
      <c r="P468" s="6" t="e">
        <v>#VALUE!</v>
      </c>
      <c r="Q468" s="1"/>
      <c r="R468" s="7" t="e">
        <f ca="1">_xll.SNL.Clients.Office.Excel.Functions.SPG(A468, "SP_TOTAL_DEBT", "LTM")</f>
        <v>#NAME?</v>
      </c>
      <c r="S468" s="8" t="e">
        <f ca="1">_xll.SNL.Clients.Office.Excel.Functions.SPG(A468, "SP_DEBT_TO_EQUITY", "LTM")</f>
        <v>#NAME?</v>
      </c>
      <c r="U468" s="9" t="e">
        <f t="shared" ca="1" si="7"/>
        <v>#VALUE!</v>
      </c>
      <c r="Y468" s="1"/>
      <c r="Z468" s="1"/>
      <c r="AA468" s="10"/>
      <c r="AB468" s="1" t="s">
        <v>985</v>
      </c>
      <c r="AC468" s="1" t="s">
        <v>65</v>
      </c>
      <c r="AD468" s="10">
        <v>710.95650751999995</v>
      </c>
      <c r="AE468" s="1" t="s">
        <v>25</v>
      </c>
    </row>
    <row r="469" spans="1:31" x14ac:dyDescent="0.2">
      <c r="A469" s="1" t="s">
        <v>986</v>
      </c>
      <c r="B469" s="2" t="s">
        <v>1408</v>
      </c>
      <c r="C469" s="3">
        <v>-37.804878048780502</v>
      </c>
      <c r="D469" s="2">
        <v>-4.8479999999999999</v>
      </c>
      <c r="E469" s="2">
        <v>18.232842999999999</v>
      </c>
      <c r="F469" s="4">
        <v>0.71399999999999997</v>
      </c>
      <c r="G469" s="4">
        <v>6.2812064131284897</v>
      </c>
      <c r="H469" s="2" t="s">
        <v>1408</v>
      </c>
      <c r="I469" s="4" t="s">
        <v>1408</v>
      </c>
      <c r="J469" s="4" t="s">
        <v>1408</v>
      </c>
      <c r="K469" s="4">
        <v>1.062047</v>
      </c>
      <c r="L469" s="4" t="s">
        <v>1408</v>
      </c>
      <c r="N469" s="5" t="s">
        <v>1408</v>
      </c>
      <c r="O469" s="5">
        <v>61516</v>
      </c>
      <c r="P469" s="6" t="e">
        <v>#VALUE!</v>
      </c>
      <c r="Q469" s="1"/>
      <c r="R469" s="7" t="e">
        <f ca="1">_xll.SNL.Clients.Office.Excel.Functions.SPG(A469, "SP_TOTAL_DEBT", "LTM")</f>
        <v>#NAME?</v>
      </c>
      <c r="S469" s="8" t="e">
        <f ca="1">_xll.SNL.Clients.Office.Excel.Functions.SPG(A469, "SP_DEBT_TO_EQUITY", "LTM")</f>
        <v>#NAME?</v>
      </c>
      <c r="U469" s="9" t="e">
        <f t="shared" ca="1" si="7"/>
        <v>#VALUE!</v>
      </c>
      <c r="Y469" s="1"/>
      <c r="Z469" s="1"/>
      <c r="AA469" s="10"/>
      <c r="AB469" s="1" t="s">
        <v>987</v>
      </c>
      <c r="AC469" s="1" t="s">
        <v>34</v>
      </c>
      <c r="AD469" s="10">
        <v>1153.6105496299999</v>
      </c>
      <c r="AE469" s="1" t="s">
        <v>25</v>
      </c>
    </row>
    <row r="470" spans="1:31" x14ac:dyDescent="0.2">
      <c r="A470" s="1" t="s">
        <v>988</v>
      </c>
      <c r="B470" s="2">
        <v>-0.16</v>
      </c>
      <c r="C470" s="3" t="s">
        <v>1408</v>
      </c>
      <c r="D470" s="2" t="s">
        <v>1408</v>
      </c>
      <c r="E470" s="2" t="s">
        <v>1408</v>
      </c>
      <c r="F470" s="4">
        <v>-0.16300000000000001</v>
      </c>
      <c r="G470" s="4" t="s">
        <v>1408</v>
      </c>
      <c r="H470" s="2">
        <v>1.319</v>
      </c>
      <c r="I470" s="4" t="s">
        <v>1408</v>
      </c>
      <c r="J470" s="4" t="s">
        <v>1408</v>
      </c>
      <c r="K470" s="4">
        <v>0.80817600000000001</v>
      </c>
      <c r="L470" s="4" t="s">
        <v>1408</v>
      </c>
      <c r="N470" s="5">
        <v>-12607.625</v>
      </c>
      <c r="O470" s="5">
        <v>245689</v>
      </c>
      <c r="P470" s="6">
        <v>-5.1315382455054966E-2</v>
      </c>
      <c r="Q470" s="1"/>
      <c r="R470" s="7" t="e">
        <f ca="1">_xll.SNL.Clients.Office.Excel.Functions.SPG(A470, "SP_TOTAL_DEBT", "LTM")</f>
        <v>#NAME?</v>
      </c>
      <c r="S470" s="8" t="e">
        <f ca="1">_xll.SNL.Clients.Office.Excel.Functions.SPG(A470, "SP_DEBT_TO_EQUITY", "LTM")</f>
        <v>#NAME?</v>
      </c>
      <c r="U470" s="9" t="e">
        <f t="shared" ca="1" si="7"/>
        <v>#NAME?</v>
      </c>
      <c r="Y470" s="1"/>
      <c r="Z470" s="1"/>
      <c r="AA470" s="10"/>
      <c r="AB470" s="1" t="s">
        <v>989</v>
      </c>
      <c r="AC470" s="1" t="s">
        <v>37</v>
      </c>
      <c r="AD470" s="10">
        <v>485.96281263644499</v>
      </c>
      <c r="AE470" s="1" t="s">
        <v>42</v>
      </c>
    </row>
    <row r="471" spans="1:31" x14ac:dyDescent="0.2">
      <c r="A471" s="1" t="s">
        <v>990</v>
      </c>
      <c r="B471" s="2">
        <v>12.808999999999999</v>
      </c>
      <c r="C471" s="3">
        <v>27.924528301886799</v>
      </c>
      <c r="D471" s="2">
        <v>7.89</v>
      </c>
      <c r="E471" s="2">
        <v>8.2926830000000002</v>
      </c>
      <c r="F471" s="4">
        <v>10.513</v>
      </c>
      <c r="G471" s="4">
        <v>18.971084756984801</v>
      </c>
      <c r="H471" s="2">
        <v>1.603</v>
      </c>
      <c r="I471" s="4">
        <v>0.217</v>
      </c>
      <c r="J471" s="4" t="s">
        <v>1408</v>
      </c>
      <c r="K471" s="4">
        <v>1.3947130000000001</v>
      </c>
      <c r="L471" s="4">
        <v>6.0637230000000004</v>
      </c>
      <c r="N471" s="5">
        <v>193528.875</v>
      </c>
      <c r="O471" s="5">
        <v>311637</v>
      </c>
      <c r="P471" s="6">
        <v>0.62100737396393879</v>
      </c>
      <c r="Q471" s="1"/>
      <c r="R471" s="7" t="e">
        <f ca="1">_xll.SNL.Clients.Office.Excel.Functions.SPG(A471, "SP_TOTAL_DEBT", "LTM")</f>
        <v>#NAME?</v>
      </c>
      <c r="S471" s="8" t="e">
        <f ca="1">_xll.SNL.Clients.Office.Excel.Functions.SPG(A471, "SP_DEBT_TO_EQUITY", "LTM")</f>
        <v>#NAME?</v>
      </c>
      <c r="U471" s="9" t="e">
        <f t="shared" ca="1" si="7"/>
        <v>#NAME?</v>
      </c>
      <c r="Y471" s="1"/>
      <c r="Z471" s="1"/>
      <c r="AA471" s="10"/>
      <c r="AB471" s="1" t="s">
        <v>991</v>
      </c>
      <c r="AC471" s="1" t="s">
        <v>509</v>
      </c>
      <c r="AD471" s="10">
        <v>2588.0957524800001</v>
      </c>
      <c r="AE471" s="1" t="s">
        <v>25</v>
      </c>
    </row>
    <row r="472" spans="1:31" x14ac:dyDescent="0.2">
      <c r="A472" s="1" t="s">
        <v>992</v>
      </c>
      <c r="B472" s="2">
        <v>-0.18</v>
      </c>
      <c r="C472" s="3" t="s">
        <v>1408</v>
      </c>
      <c r="D472" s="2" t="s">
        <v>1408</v>
      </c>
      <c r="E472" s="2" t="s">
        <v>1408</v>
      </c>
      <c r="F472" s="4">
        <v>-7.1999999999999995E-2</v>
      </c>
      <c r="G472" s="4" t="s">
        <v>1408</v>
      </c>
      <c r="H472" s="2">
        <v>1.347</v>
      </c>
      <c r="I472" s="4" t="s">
        <v>1408</v>
      </c>
      <c r="J472" s="4" t="s">
        <v>1408</v>
      </c>
      <c r="K472" s="4">
        <v>0.86220399999999997</v>
      </c>
      <c r="L472" s="4">
        <v>2.9887250000000001</v>
      </c>
      <c r="N472" s="5">
        <v>107713.5</v>
      </c>
      <c r="O472" s="5">
        <v>761140</v>
      </c>
      <c r="P472" s="6">
        <v>0.14151601545050846</v>
      </c>
      <c r="Q472" s="1"/>
      <c r="R472" s="7" t="e">
        <f ca="1">_xll.SNL.Clients.Office.Excel.Functions.SPG(A472, "SP_TOTAL_DEBT", "LTM")</f>
        <v>#NAME?</v>
      </c>
      <c r="S472" s="8" t="e">
        <f ca="1">_xll.SNL.Clients.Office.Excel.Functions.SPG(A472, "SP_DEBT_TO_EQUITY", "LTM")</f>
        <v>#NAME?</v>
      </c>
      <c r="U472" s="9" t="e">
        <f t="shared" ca="1" si="7"/>
        <v>#NAME?</v>
      </c>
      <c r="Y472" s="1"/>
      <c r="Z472" s="1"/>
      <c r="AA472" s="10"/>
      <c r="AB472" s="1" t="s">
        <v>993</v>
      </c>
      <c r="AC472" s="1" t="s">
        <v>37</v>
      </c>
      <c r="AD472" s="10">
        <v>1603.3984570487901</v>
      </c>
      <c r="AE472" s="1" t="s">
        <v>42</v>
      </c>
    </row>
    <row r="473" spans="1:31" x14ac:dyDescent="0.2">
      <c r="A473" s="1" t="s">
        <v>994</v>
      </c>
      <c r="B473" s="2" t="s">
        <v>1408</v>
      </c>
      <c r="C473" s="3">
        <v>11.610486891385801</v>
      </c>
      <c r="D473" s="2">
        <v>10.263999999999999</v>
      </c>
      <c r="E473" s="2">
        <v>7.3926379999999998</v>
      </c>
      <c r="F473" s="4">
        <v>1.863</v>
      </c>
      <c r="G473" s="4">
        <v>16.484119108551099</v>
      </c>
      <c r="H473" s="2" t="s">
        <v>1408</v>
      </c>
      <c r="I473" s="4" t="s">
        <v>1408</v>
      </c>
      <c r="J473" s="4">
        <v>56.541830471067001</v>
      </c>
      <c r="K473" s="4">
        <v>1.263253</v>
      </c>
      <c r="L473" s="4" t="s">
        <v>1408</v>
      </c>
      <c r="N473" s="5" t="s">
        <v>1408</v>
      </c>
      <c r="O473" s="5">
        <v>53828</v>
      </c>
      <c r="P473" s="6" t="e">
        <v>#VALUE!</v>
      </c>
      <c r="Q473" s="1"/>
      <c r="R473" s="7" t="e">
        <f ca="1">_xll.SNL.Clients.Office.Excel.Functions.SPG(A473, "SP_TOTAL_DEBT", "LTM")</f>
        <v>#NAME?</v>
      </c>
      <c r="S473" s="8" t="e">
        <f ca="1">_xll.SNL.Clients.Office.Excel.Functions.SPG(A473, "SP_DEBT_TO_EQUITY", "LTM")</f>
        <v>#NAME?</v>
      </c>
      <c r="U473" s="9" t="e">
        <f t="shared" ca="1" si="7"/>
        <v>#VALUE!</v>
      </c>
      <c r="Y473" s="1"/>
      <c r="Z473" s="1"/>
      <c r="AA473" s="10"/>
      <c r="AB473" s="1" t="s">
        <v>995</v>
      </c>
      <c r="AC473" s="1" t="s">
        <v>34</v>
      </c>
      <c r="AD473" s="10">
        <v>427.89617115999999</v>
      </c>
      <c r="AE473" s="1" t="s">
        <v>25</v>
      </c>
    </row>
    <row r="474" spans="1:31" x14ac:dyDescent="0.2">
      <c r="A474" s="1" t="s">
        <v>996</v>
      </c>
      <c r="B474" s="2" t="s">
        <v>1408</v>
      </c>
      <c r="C474" s="3">
        <v>-17.2638436482085</v>
      </c>
      <c r="D474" s="2">
        <v>-3.0000000000000001E-3</v>
      </c>
      <c r="E474" s="2">
        <v>15.393701</v>
      </c>
      <c r="F474" s="4">
        <v>0.72399999999999998</v>
      </c>
      <c r="G474" s="4">
        <v>9.6312081412542394</v>
      </c>
      <c r="H474" s="2" t="s">
        <v>1408</v>
      </c>
      <c r="I474" s="4" t="s">
        <v>1408</v>
      </c>
      <c r="J474" s="4">
        <v>24.882615584041499</v>
      </c>
      <c r="K474" s="4">
        <v>1.456537</v>
      </c>
      <c r="L474" s="4" t="s">
        <v>1408</v>
      </c>
      <c r="N474" s="5" t="s">
        <v>1408</v>
      </c>
      <c r="O474" s="5">
        <v>1107300</v>
      </c>
      <c r="P474" s="6" t="e">
        <v>#VALUE!</v>
      </c>
      <c r="Q474" s="1"/>
      <c r="R474" s="7" t="e">
        <f ca="1">_xll.SNL.Clients.Office.Excel.Functions.SPG(A474, "SP_TOTAL_DEBT", "LTM")</f>
        <v>#NAME?</v>
      </c>
      <c r="S474" s="8" t="e">
        <f ca="1">_xll.SNL.Clients.Office.Excel.Functions.SPG(A474, "SP_DEBT_TO_EQUITY", "LTM")</f>
        <v>#NAME?</v>
      </c>
      <c r="U474" s="9" t="e">
        <f t="shared" ca="1" si="7"/>
        <v>#VALUE!</v>
      </c>
      <c r="Y474" s="1"/>
      <c r="Z474" s="1"/>
      <c r="AA474" s="10"/>
      <c r="AB474" s="1" t="s">
        <v>997</v>
      </c>
      <c r="AC474" s="1" t="s">
        <v>37</v>
      </c>
      <c r="AD474" s="10">
        <v>16336.234640000001</v>
      </c>
      <c r="AE474" s="1" t="s">
        <v>25</v>
      </c>
    </row>
    <row r="475" spans="1:31" x14ac:dyDescent="0.2">
      <c r="A475" s="1" t="s">
        <v>998</v>
      </c>
      <c r="B475" s="2" t="s">
        <v>1408</v>
      </c>
      <c r="C475" s="3">
        <v>-34.848484848484901</v>
      </c>
      <c r="D475" s="2">
        <v>-16.437999999999999</v>
      </c>
      <c r="E475" s="2">
        <v>12.627907</v>
      </c>
      <c r="F475" s="4">
        <v>0.67300000000000004</v>
      </c>
      <c r="G475" s="4">
        <v>5.4529057361980096</v>
      </c>
      <c r="H475" s="2" t="s">
        <v>1408</v>
      </c>
      <c r="I475" s="4" t="s">
        <v>1408</v>
      </c>
      <c r="J475" s="4">
        <v>37.909650021965099</v>
      </c>
      <c r="K475" s="4" t="s">
        <v>1408</v>
      </c>
      <c r="L475" s="4" t="s">
        <v>1408</v>
      </c>
      <c r="N475" s="5" t="s">
        <v>1408</v>
      </c>
      <c r="O475" s="5">
        <v>37669</v>
      </c>
      <c r="P475" s="6" t="e">
        <v>#VALUE!</v>
      </c>
      <c r="Q475" s="1"/>
      <c r="R475" s="7" t="e">
        <f ca="1">_xll.SNL.Clients.Office.Excel.Functions.SPG(A475, "SP_TOTAL_DEBT", "LTM")</f>
        <v>#NAME?</v>
      </c>
      <c r="S475" s="8" t="e">
        <f ca="1">_xll.SNL.Clients.Office.Excel.Functions.SPG(A475, "SP_DEBT_TO_EQUITY", "LTM")</f>
        <v>#NAME?</v>
      </c>
      <c r="U475" s="9" t="e">
        <f t="shared" ca="1" si="7"/>
        <v>#VALUE!</v>
      </c>
      <c r="Y475" s="1"/>
      <c r="Z475" s="1"/>
      <c r="AA475" s="10"/>
      <c r="AB475" s="1" t="s">
        <v>999</v>
      </c>
      <c r="AC475" s="1" t="s">
        <v>34</v>
      </c>
      <c r="AD475" s="10">
        <v>535.63489587000004</v>
      </c>
      <c r="AE475" s="1" t="s">
        <v>25</v>
      </c>
    </row>
    <row r="476" spans="1:31" x14ac:dyDescent="0.2">
      <c r="A476" s="1" t="s">
        <v>1000</v>
      </c>
      <c r="B476" s="2" t="s">
        <v>1408</v>
      </c>
      <c r="C476" s="3">
        <v>0.95238095238095299</v>
      </c>
      <c r="D476" s="2">
        <v>2.5230000000000001</v>
      </c>
      <c r="E476" s="2">
        <v>11.056604</v>
      </c>
      <c r="F476" s="4">
        <v>0.94599999999999995</v>
      </c>
      <c r="G476" s="4">
        <v>8.9358630986866707</v>
      </c>
      <c r="H476" s="2" t="s">
        <v>1408</v>
      </c>
      <c r="I476" s="4" t="s">
        <v>1408</v>
      </c>
      <c r="J476" s="4">
        <v>33.210654938246797</v>
      </c>
      <c r="K476" s="4">
        <v>0.960341</v>
      </c>
      <c r="L476" s="4" t="s">
        <v>1408</v>
      </c>
      <c r="N476" s="5" t="s">
        <v>1408</v>
      </c>
      <c r="O476" s="5">
        <v>134957</v>
      </c>
      <c r="P476" s="6" t="e">
        <v>#VALUE!</v>
      </c>
      <c r="Q476" s="1"/>
      <c r="R476" s="7" t="e">
        <f ca="1">_xll.SNL.Clients.Office.Excel.Functions.SPG(A476, "SP_TOTAL_DEBT", "LTM")</f>
        <v>#NAME?</v>
      </c>
      <c r="S476" s="8" t="e">
        <f ca="1">_xll.SNL.Clients.Office.Excel.Functions.SPG(A476, "SP_DEBT_TO_EQUITY", "LTM")</f>
        <v>#NAME?</v>
      </c>
      <c r="U476" s="9" t="e">
        <f t="shared" ca="1" si="7"/>
        <v>#VALUE!</v>
      </c>
      <c r="Y476" s="1"/>
      <c r="Z476" s="1"/>
      <c r="AA476" s="10"/>
      <c r="AB476" s="1" t="s">
        <v>1001</v>
      </c>
      <c r="AC476" s="1" t="s">
        <v>34</v>
      </c>
      <c r="AD476" s="10">
        <v>1572.3563036099999</v>
      </c>
      <c r="AE476" s="1" t="s">
        <v>25</v>
      </c>
    </row>
    <row r="477" spans="1:31" x14ac:dyDescent="0.2">
      <c r="A477" s="1" t="s">
        <v>1002</v>
      </c>
      <c r="B477" s="2" t="s">
        <v>1408</v>
      </c>
      <c r="C477" s="3" t="s">
        <v>1408</v>
      </c>
      <c r="D477" s="2">
        <v>116.393</v>
      </c>
      <c r="E477" s="2">
        <v>121.81818199999999</v>
      </c>
      <c r="F477" s="4">
        <v>1.206</v>
      </c>
      <c r="G477" s="4">
        <v>-7.8135935278792399</v>
      </c>
      <c r="H477" s="2">
        <v>0.876</v>
      </c>
      <c r="I477" s="4">
        <v>0.10100000000000001</v>
      </c>
      <c r="J477" s="4" t="s">
        <v>1408</v>
      </c>
      <c r="K477" s="4">
        <v>7.570621</v>
      </c>
      <c r="L477" s="4" t="s">
        <v>1408</v>
      </c>
      <c r="N477" s="5" t="s">
        <v>1408</v>
      </c>
      <c r="O477" s="5">
        <v>372040</v>
      </c>
      <c r="P477" s="6" t="e">
        <v>#VALUE!</v>
      </c>
      <c r="Q477" s="1"/>
      <c r="R477" s="7" t="e">
        <f ca="1">_xll.SNL.Clients.Office.Excel.Functions.SPG(A477, "SP_TOTAL_DEBT", "LTM")</f>
        <v>#NAME?</v>
      </c>
      <c r="S477" s="8" t="e">
        <f ca="1">_xll.SNL.Clients.Office.Excel.Functions.SPG(A477, "SP_DEBT_TO_EQUITY", "LTM")</f>
        <v>#NAME?</v>
      </c>
      <c r="U477" s="9" t="e">
        <f t="shared" ca="1" si="7"/>
        <v>#VALUE!</v>
      </c>
      <c r="Y477" s="1"/>
      <c r="Z477" s="1"/>
      <c r="AA477" s="10"/>
      <c r="AB477" s="1" t="s">
        <v>1003</v>
      </c>
      <c r="AC477" s="1" t="s">
        <v>34</v>
      </c>
      <c r="AD477" s="10">
        <v>40939.772516999998</v>
      </c>
      <c r="AE477" s="1" t="s">
        <v>42</v>
      </c>
    </row>
    <row r="478" spans="1:31" x14ac:dyDescent="0.2">
      <c r="A478" s="1" t="s">
        <v>1004</v>
      </c>
      <c r="B478" s="2">
        <v>2.6720000000000002</v>
      </c>
      <c r="C478" s="3" t="s">
        <v>1408</v>
      </c>
      <c r="D478" s="2">
        <v>16.396999999999998</v>
      </c>
      <c r="E478" s="2" t="s">
        <v>1409</v>
      </c>
      <c r="F478" s="4">
        <v>2.214</v>
      </c>
      <c r="G478" s="4" t="s">
        <v>1408</v>
      </c>
      <c r="H478" s="2">
        <v>1.0269999999999999</v>
      </c>
      <c r="I478" s="4">
        <v>0.27400000000000002</v>
      </c>
      <c r="J478" s="4" t="s">
        <v>1408</v>
      </c>
      <c r="K478" s="4">
        <v>1.727093</v>
      </c>
      <c r="L478" s="4">
        <v>18.633595</v>
      </c>
      <c r="N478" s="5">
        <v>287200</v>
      </c>
      <c r="O478" s="5">
        <v>-5440</v>
      </c>
      <c r="P478" s="6">
        <v>-52.794117647058826</v>
      </c>
      <c r="Q478" s="1"/>
      <c r="R478" s="7" t="e">
        <f ca="1">_xll.SNL.Clients.Office.Excel.Functions.SPG(A478, "SP_TOTAL_DEBT", "LTM")</f>
        <v>#NAME?</v>
      </c>
      <c r="S478" s="8" t="e">
        <f ca="1">_xll.SNL.Clients.Office.Excel.Functions.SPG(A478, "SP_DEBT_TO_EQUITY", "LTM")</f>
        <v>#NAME?</v>
      </c>
      <c r="U478" s="9" t="e">
        <f t="shared" ca="1" si="7"/>
        <v>#NAME?</v>
      </c>
      <c r="Y478" s="1"/>
      <c r="Z478" s="1"/>
      <c r="AA478" s="10"/>
      <c r="AB478" s="1" t="s">
        <v>1005</v>
      </c>
      <c r="AC478" s="1" t="s">
        <v>167</v>
      </c>
      <c r="AD478" s="10">
        <v>3402.6728406296502</v>
      </c>
      <c r="AE478" s="1" t="s">
        <v>25</v>
      </c>
    </row>
    <row r="479" spans="1:31" x14ac:dyDescent="0.2">
      <c r="A479" s="1" t="s">
        <v>1006</v>
      </c>
      <c r="B479" s="2">
        <v>13.021000000000001</v>
      </c>
      <c r="C479" s="3" t="s">
        <v>1408</v>
      </c>
      <c r="D479" s="2">
        <v>-11.414999999999999</v>
      </c>
      <c r="E479" s="2">
        <v>12.352941</v>
      </c>
      <c r="F479" s="4">
        <v>3.383</v>
      </c>
      <c r="G479" s="4" t="s">
        <v>1408</v>
      </c>
      <c r="H479" s="2">
        <v>4.6820000000000004</v>
      </c>
      <c r="I479" s="4">
        <v>6.0999999999999999E-2</v>
      </c>
      <c r="J479" s="4" t="s">
        <v>1408</v>
      </c>
      <c r="K479" s="4">
        <v>0.66556000000000004</v>
      </c>
      <c r="L479" s="4" t="s">
        <v>1408</v>
      </c>
      <c r="N479" s="5">
        <v>54964.75</v>
      </c>
      <c r="O479" s="5">
        <v>62936</v>
      </c>
      <c r="P479" s="6">
        <v>0.87334355535782382</v>
      </c>
      <c r="Q479" s="1"/>
      <c r="R479" s="7" t="e">
        <f ca="1">_xll.SNL.Clients.Office.Excel.Functions.SPG(A479, "SP_TOTAL_DEBT", "LTM")</f>
        <v>#NAME?</v>
      </c>
      <c r="S479" s="8" t="e">
        <f ca="1">_xll.SNL.Clients.Office.Excel.Functions.SPG(A479, "SP_DEBT_TO_EQUITY", "LTM")</f>
        <v>#NAME?</v>
      </c>
      <c r="U479" s="9" t="e">
        <f t="shared" ca="1" si="7"/>
        <v>#NAME?</v>
      </c>
      <c r="Y479" s="1"/>
      <c r="Z479" s="1"/>
      <c r="AA479" s="10"/>
      <c r="AB479" s="1" t="s">
        <v>1007</v>
      </c>
      <c r="AC479" s="1" t="s">
        <v>37</v>
      </c>
      <c r="AD479" s="10">
        <v>1004.27527953341</v>
      </c>
      <c r="AE479" s="1" t="s">
        <v>25</v>
      </c>
    </row>
    <row r="480" spans="1:31" x14ac:dyDescent="0.2">
      <c r="A480" s="1" t="s">
        <v>1008</v>
      </c>
      <c r="B480" s="2" t="s">
        <v>1408</v>
      </c>
      <c r="C480" s="3">
        <v>-29.752066115702501</v>
      </c>
      <c r="D480" s="2">
        <v>-10.057</v>
      </c>
      <c r="E480" s="2">
        <v>9.2810839999999999</v>
      </c>
      <c r="F480" s="4">
        <v>0.78100000000000003</v>
      </c>
      <c r="G480" s="4">
        <v>6.3740595712569803</v>
      </c>
      <c r="H480" s="2" t="s">
        <v>1408</v>
      </c>
      <c r="I480" s="4" t="s">
        <v>1408</v>
      </c>
      <c r="J480" s="4" t="s">
        <v>1408</v>
      </c>
      <c r="K480" s="4">
        <v>0.56364700000000001</v>
      </c>
      <c r="L480" s="4" t="s">
        <v>1408</v>
      </c>
      <c r="N480" s="5" t="s">
        <v>1408</v>
      </c>
      <c r="O480" s="5">
        <v>104065</v>
      </c>
      <c r="P480" s="6" t="e">
        <v>#VALUE!</v>
      </c>
      <c r="Q480" s="1"/>
      <c r="R480" s="7" t="e">
        <f ca="1">_xll.SNL.Clients.Office.Excel.Functions.SPG(A480, "SP_TOTAL_DEBT", "LTM")</f>
        <v>#NAME?</v>
      </c>
      <c r="S480" s="8" t="e">
        <f ca="1">_xll.SNL.Clients.Office.Excel.Functions.SPG(A480, "SP_DEBT_TO_EQUITY", "LTM")</f>
        <v>#NAME?</v>
      </c>
      <c r="U480" s="9" t="e">
        <f t="shared" ca="1" si="7"/>
        <v>#VALUE!</v>
      </c>
      <c r="Y480" s="1"/>
      <c r="Z480" s="1"/>
      <c r="AA480" s="10"/>
      <c r="AB480" s="1" t="s">
        <v>1009</v>
      </c>
      <c r="AC480" s="1" t="s">
        <v>34</v>
      </c>
      <c r="AD480" s="10">
        <v>1024.2835953199999</v>
      </c>
      <c r="AE480" s="1" t="s">
        <v>25</v>
      </c>
    </row>
    <row r="481" spans="1:31" x14ac:dyDescent="0.2">
      <c r="A481" s="1" t="s">
        <v>1010</v>
      </c>
      <c r="B481" s="2" t="s">
        <v>1408</v>
      </c>
      <c r="C481" s="3">
        <v>11.337209302325601</v>
      </c>
      <c r="D481" s="2">
        <v>6.6150000000000002</v>
      </c>
      <c r="E481" s="2">
        <v>9.4177549999999997</v>
      </c>
      <c r="F481" s="4">
        <v>1.7190000000000001</v>
      </c>
      <c r="G481" s="4">
        <v>16.371310599602701</v>
      </c>
      <c r="H481" s="2" t="s">
        <v>1408</v>
      </c>
      <c r="I481" s="4" t="s">
        <v>1408</v>
      </c>
      <c r="J481" s="4" t="s">
        <v>1408</v>
      </c>
      <c r="K481" s="4">
        <v>1.422431</v>
      </c>
      <c r="L481" s="4" t="s">
        <v>1408</v>
      </c>
      <c r="N481" s="5" t="s">
        <v>1408</v>
      </c>
      <c r="O481" s="5">
        <v>181872</v>
      </c>
      <c r="P481" s="6" t="e">
        <v>#VALUE!</v>
      </c>
      <c r="Q481" s="1"/>
      <c r="R481" s="7" t="e">
        <f ca="1">_xll.SNL.Clients.Office.Excel.Functions.SPG(A481, "SP_TOTAL_DEBT", "LTM")</f>
        <v>#NAME?</v>
      </c>
      <c r="S481" s="8" t="e">
        <f ca="1">_xll.SNL.Clients.Office.Excel.Functions.SPG(A481, "SP_DEBT_TO_EQUITY", "LTM")</f>
        <v>#NAME?</v>
      </c>
      <c r="U481" s="9" t="e">
        <f t="shared" ca="1" si="7"/>
        <v>#VALUE!</v>
      </c>
      <c r="Y481" s="1"/>
      <c r="Z481" s="1"/>
      <c r="AA481" s="10"/>
      <c r="AB481" s="1" t="s">
        <v>1011</v>
      </c>
      <c r="AC481" s="1" t="s">
        <v>34</v>
      </c>
      <c r="AD481" s="10">
        <v>1730.3155266199999</v>
      </c>
      <c r="AE481" s="1" t="s">
        <v>25</v>
      </c>
    </row>
    <row r="482" spans="1:31" x14ac:dyDescent="0.2">
      <c r="A482" s="1" t="s">
        <v>1012</v>
      </c>
      <c r="B482" s="2" t="s">
        <v>1408</v>
      </c>
      <c r="C482" s="3">
        <v>29.3333333333333</v>
      </c>
      <c r="D482" s="2">
        <v>12.105</v>
      </c>
      <c r="E482" s="2">
        <v>8.1597939999999998</v>
      </c>
      <c r="F482" s="4">
        <v>1.214</v>
      </c>
      <c r="G482" s="4">
        <v>11.0764623272348</v>
      </c>
      <c r="H482" s="2" t="s">
        <v>1408</v>
      </c>
      <c r="I482" s="4" t="s">
        <v>1408</v>
      </c>
      <c r="J482" s="4">
        <v>43.546324387397902</v>
      </c>
      <c r="K482" s="4">
        <v>0.83280699999999996</v>
      </c>
      <c r="L482" s="4" t="s">
        <v>1408</v>
      </c>
      <c r="N482" s="5" t="s">
        <v>1408</v>
      </c>
      <c r="O482" s="5">
        <v>581992</v>
      </c>
      <c r="P482" s="6" t="e">
        <v>#VALUE!</v>
      </c>
      <c r="Q482" s="1"/>
      <c r="R482" s="7" t="e">
        <f ca="1">_xll.SNL.Clients.Office.Excel.Functions.SPG(A482, "SP_TOTAL_DEBT", "LTM")</f>
        <v>#NAME?</v>
      </c>
      <c r="S482" s="8" t="e">
        <f ca="1">_xll.SNL.Clients.Office.Excel.Functions.SPG(A482, "SP_DEBT_TO_EQUITY", "LTM")</f>
        <v>#NAME?</v>
      </c>
      <c r="U482" s="9" t="e">
        <f t="shared" ca="1" si="7"/>
        <v>#VALUE!</v>
      </c>
      <c r="Y482" s="1"/>
      <c r="Z482" s="1"/>
      <c r="AA482" s="10"/>
      <c r="AB482" s="1" t="s">
        <v>1013</v>
      </c>
      <c r="AC482" s="1" t="s">
        <v>34</v>
      </c>
      <c r="AD482" s="10">
        <v>4820.0278500000004</v>
      </c>
      <c r="AE482" s="1" t="s">
        <v>25</v>
      </c>
    </row>
    <row r="483" spans="1:31" x14ac:dyDescent="0.2">
      <c r="A483" s="1" t="s">
        <v>1014</v>
      </c>
      <c r="B483" s="2">
        <v>6.3959999999999999</v>
      </c>
      <c r="C483" s="3">
        <v>-7.0796460176991003</v>
      </c>
      <c r="D483" s="2">
        <v>-10.210000000000001</v>
      </c>
      <c r="E483" s="2">
        <v>13.152381</v>
      </c>
      <c r="F483" s="4">
        <v>1.9790000000000001</v>
      </c>
      <c r="G483" s="4">
        <v>9.7099465717732691</v>
      </c>
      <c r="H483" s="2">
        <v>0.58299999999999996</v>
      </c>
      <c r="I483" s="4">
        <v>0.28100000000000003</v>
      </c>
      <c r="J483" s="4" t="s">
        <v>1408</v>
      </c>
      <c r="K483" s="4">
        <v>1.1731229999999999</v>
      </c>
      <c r="L483" s="4">
        <v>10.772951000000001</v>
      </c>
      <c r="N483" s="5" t="s">
        <v>1408</v>
      </c>
      <c r="O483" s="5">
        <v>598600</v>
      </c>
      <c r="P483" s="6" t="e">
        <v>#VALUE!</v>
      </c>
      <c r="Q483" s="1"/>
      <c r="R483" s="7" t="e">
        <f ca="1">_xll.SNL.Clients.Office.Excel.Functions.SPG(A483, "SP_TOTAL_DEBT", "LTM")</f>
        <v>#NAME?</v>
      </c>
      <c r="S483" s="8" t="e">
        <f ca="1">_xll.SNL.Clients.Office.Excel.Functions.SPG(A483, "SP_DEBT_TO_EQUITY", "LTM")</f>
        <v>#NAME?</v>
      </c>
      <c r="U483" s="9" t="e">
        <f t="shared" ca="1" si="7"/>
        <v>#VALUE!</v>
      </c>
      <c r="Y483" s="1"/>
      <c r="Z483" s="1"/>
      <c r="AA483" s="10"/>
      <c r="AB483" s="1" t="s">
        <v>1015</v>
      </c>
      <c r="AC483" s="1" t="s">
        <v>95</v>
      </c>
      <c r="AD483" s="10">
        <v>7640.39118616</v>
      </c>
      <c r="AE483" s="1" t="s">
        <v>25</v>
      </c>
    </row>
    <row r="484" spans="1:31" x14ac:dyDescent="0.2">
      <c r="A484" s="1" t="s">
        <v>1016</v>
      </c>
      <c r="B484" s="2" t="s">
        <v>1408</v>
      </c>
      <c r="C484" s="3">
        <v>35.570469798657697</v>
      </c>
      <c r="D484" s="2">
        <v>11.077</v>
      </c>
      <c r="E484" s="2">
        <v>6.6584159999999999</v>
      </c>
      <c r="F484" s="4">
        <v>1.58</v>
      </c>
      <c r="G484" s="4">
        <v>17.704618392602701</v>
      </c>
      <c r="H484" s="2" t="s">
        <v>1408</v>
      </c>
      <c r="I484" s="4" t="s">
        <v>1408</v>
      </c>
      <c r="J484" s="4">
        <v>44.831494739163098</v>
      </c>
      <c r="K484" s="4">
        <v>1.041425</v>
      </c>
      <c r="L484" s="4" t="s">
        <v>1408</v>
      </c>
      <c r="N484" s="5" t="s">
        <v>1408</v>
      </c>
      <c r="O484" s="5">
        <v>91729</v>
      </c>
      <c r="P484" s="6" t="e">
        <v>#VALUE!</v>
      </c>
      <c r="Q484" s="1"/>
      <c r="R484" s="7" t="e">
        <f ca="1">_xll.SNL.Clients.Office.Excel.Functions.SPG(A484, "SP_TOTAL_DEBT", "LTM")</f>
        <v>#NAME?</v>
      </c>
      <c r="S484" s="8" t="e">
        <f ca="1">_xll.SNL.Clients.Office.Excel.Functions.SPG(A484, "SP_DEBT_TO_EQUITY", "LTM")</f>
        <v>#NAME?</v>
      </c>
      <c r="U484" s="9" t="e">
        <f t="shared" ca="1" si="7"/>
        <v>#VALUE!</v>
      </c>
      <c r="Y484" s="1"/>
      <c r="Z484" s="1"/>
      <c r="AA484" s="10"/>
      <c r="AB484" s="1" t="s">
        <v>1017</v>
      </c>
      <c r="AC484" s="1" t="s">
        <v>34</v>
      </c>
      <c r="AD484" s="10">
        <v>608.78562953999995</v>
      </c>
      <c r="AE484" s="1" t="s">
        <v>25</v>
      </c>
    </row>
    <row r="485" spans="1:31" x14ac:dyDescent="0.2">
      <c r="A485" s="1" t="s">
        <v>1018</v>
      </c>
      <c r="B485" s="2" t="s">
        <v>1408</v>
      </c>
      <c r="C485" s="3">
        <v>-24.108416547788899</v>
      </c>
      <c r="D485" s="2" t="s">
        <v>1408</v>
      </c>
      <c r="E485" s="2">
        <v>8.714181</v>
      </c>
      <c r="F485" s="4" t="s">
        <v>1408</v>
      </c>
      <c r="G485" s="4">
        <v>20.7636555047172</v>
      </c>
      <c r="H485" s="2" t="s">
        <v>1408</v>
      </c>
      <c r="I485" s="4" t="s">
        <v>1408</v>
      </c>
      <c r="J485" s="4">
        <v>19.6261682242991</v>
      </c>
      <c r="K485" s="4">
        <v>1.834848</v>
      </c>
      <c r="L485" s="4" t="s">
        <v>1408</v>
      </c>
      <c r="N485" s="5" t="s">
        <v>1408</v>
      </c>
      <c r="O485" s="5">
        <v>641000</v>
      </c>
      <c r="P485" s="6" t="e">
        <v>#VALUE!</v>
      </c>
      <c r="Q485" s="1"/>
      <c r="R485" s="7" t="e">
        <f ca="1">_xll.SNL.Clients.Office.Excel.Functions.SPG(A485, "SP_TOTAL_DEBT", "LTM")</f>
        <v>#NAME?</v>
      </c>
      <c r="S485" s="8" t="e">
        <f ca="1">_xll.SNL.Clients.Office.Excel.Functions.SPG(A485, "SP_DEBT_TO_EQUITY", "LTM")</f>
        <v>#NAME?</v>
      </c>
      <c r="U485" s="9" t="e">
        <f t="shared" ca="1" si="7"/>
        <v>#VALUE!</v>
      </c>
      <c r="Y485" s="1"/>
      <c r="Z485" s="1"/>
      <c r="AA485" s="10"/>
      <c r="AB485" s="1" t="s">
        <v>1019</v>
      </c>
      <c r="AC485" s="1" t="s">
        <v>161</v>
      </c>
      <c r="AD485" s="10">
        <v>5707.4362072000004</v>
      </c>
      <c r="AE485" s="1" t="s">
        <v>25</v>
      </c>
    </row>
    <row r="486" spans="1:31" x14ac:dyDescent="0.2">
      <c r="A486" s="1" t="s">
        <v>1020</v>
      </c>
      <c r="B486" s="2">
        <v>2.17</v>
      </c>
      <c r="C486" s="3">
        <v>-82.423857868020306</v>
      </c>
      <c r="D486" s="2">
        <v>-79.567999999999998</v>
      </c>
      <c r="E486" s="2">
        <v>10.450176000000001</v>
      </c>
      <c r="F486" s="4">
        <v>4.4089999999999998</v>
      </c>
      <c r="G486" s="4">
        <v>2.8482259188558601</v>
      </c>
      <c r="H486" s="2">
        <v>4.2229999999999999</v>
      </c>
      <c r="I486" s="4">
        <v>0.1</v>
      </c>
      <c r="J486" s="4" t="s">
        <v>1408</v>
      </c>
      <c r="K486" s="4">
        <v>0.72678500000000001</v>
      </c>
      <c r="L486" s="4">
        <v>6.1647619999999996</v>
      </c>
      <c r="N486" s="5">
        <v>456625</v>
      </c>
      <c r="O486" s="5">
        <v>591000</v>
      </c>
      <c r="P486" s="6">
        <v>0.77263113367174285</v>
      </c>
      <c r="Q486" s="1"/>
      <c r="R486" s="7" t="e">
        <f ca="1">_xll.SNL.Clients.Office.Excel.Functions.SPG(A486, "SP_TOTAL_DEBT", "LTM")</f>
        <v>#NAME?</v>
      </c>
      <c r="S486" s="8" t="e">
        <f ca="1">_xll.SNL.Clients.Office.Excel.Functions.SPG(A486, "SP_DEBT_TO_EQUITY", "LTM")</f>
        <v>#NAME?</v>
      </c>
      <c r="U486" s="9" t="e">
        <f t="shared" ca="1" si="7"/>
        <v>#NAME?</v>
      </c>
      <c r="Y486" s="1"/>
      <c r="Z486" s="1"/>
      <c r="AA486" s="10"/>
      <c r="AB486" s="1" t="s">
        <v>1021</v>
      </c>
      <c r="AC486" s="1" t="s">
        <v>37</v>
      </c>
      <c r="AD486" s="10">
        <v>5817.2035986665596</v>
      </c>
      <c r="AE486" s="1" t="s">
        <v>25</v>
      </c>
    </row>
    <row r="487" spans="1:31" x14ac:dyDescent="0.2">
      <c r="A487" s="1" t="s">
        <v>1022</v>
      </c>
      <c r="B487" s="2">
        <v>18.068999999999999</v>
      </c>
      <c r="C487" s="3" t="s">
        <v>1408</v>
      </c>
      <c r="D487" s="2">
        <v>-16.722000000000001</v>
      </c>
      <c r="E487" s="2">
        <v>39.516128999999999</v>
      </c>
      <c r="F487" s="4">
        <v>6.7309999999999999</v>
      </c>
      <c r="G487" s="4" t="s">
        <v>1408</v>
      </c>
      <c r="H487" s="2">
        <v>14.712999999999999</v>
      </c>
      <c r="I487" s="4">
        <v>0.33100000000000002</v>
      </c>
      <c r="J487" s="4" t="s">
        <v>1408</v>
      </c>
      <c r="K487" s="4">
        <v>4.0901500000000004</v>
      </c>
      <c r="L487" s="4">
        <v>17.736867</v>
      </c>
      <c r="N487" s="5">
        <v>58049.125</v>
      </c>
      <c r="O487" s="5">
        <v>22723</v>
      </c>
      <c r="P487" s="6">
        <v>2.5546417726532589</v>
      </c>
      <c r="Q487" s="1"/>
      <c r="R487" s="7" t="e">
        <f ca="1">_xll.SNL.Clients.Office.Excel.Functions.SPG(A487, "SP_TOTAL_DEBT", "LTM")</f>
        <v>#NAME?</v>
      </c>
      <c r="S487" s="8" t="e">
        <f ca="1">_xll.SNL.Clients.Office.Excel.Functions.SPG(A487, "SP_DEBT_TO_EQUITY", "LTM")</f>
        <v>#NAME?</v>
      </c>
      <c r="U487" s="9" t="e">
        <f t="shared" ca="1" si="7"/>
        <v>#NAME?</v>
      </c>
      <c r="Y487" s="1"/>
      <c r="Z487" s="1"/>
      <c r="AA487" s="10"/>
      <c r="AB487" s="1" t="s">
        <v>1023</v>
      </c>
      <c r="AC487" s="1" t="s">
        <v>156</v>
      </c>
      <c r="AD487" s="10">
        <v>878.99242958000002</v>
      </c>
      <c r="AE487" s="1" t="s">
        <v>25</v>
      </c>
    </row>
    <row r="488" spans="1:31" x14ac:dyDescent="0.2">
      <c r="A488" s="1" t="s">
        <v>1024</v>
      </c>
      <c r="B488" s="2" t="s">
        <v>1408</v>
      </c>
      <c r="C488" s="3">
        <v>0.77821011673151796</v>
      </c>
      <c r="D488" s="2">
        <v>8.5640000000000001</v>
      </c>
      <c r="E488" s="2">
        <v>14.826255</v>
      </c>
      <c r="F488" s="4" t="s">
        <v>1408</v>
      </c>
      <c r="G488" s="4" t="s">
        <v>1408</v>
      </c>
      <c r="H488" s="2" t="s">
        <v>1408</v>
      </c>
      <c r="I488" s="4" t="s">
        <v>1408</v>
      </c>
      <c r="J488" s="4" t="s">
        <v>1408</v>
      </c>
      <c r="K488" s="4">
        <v>0.51190400000000003</v>
      </c>
      <c r="L488" s="4" t="s">
        <v>1408</v>
      </c>
      <c r="N488" s="5" t="s">
        <v>1408</v>
      </c>
      <c r="O488" s="5">
        <v>30272</v>
      </c>
      <c r="P488" s="6" t="e">
        <v>#VALUE!</v>
      </c>
      <c r="Q488" s="1"/>
      <c r="R488" s="7" t="e">
        <f ca="1">_xll.SNL.Clients.Office.Excel.Functions.SPG(A488, "SP_TOTAL_DEBT", "LTM")</f>
        <v>#NAME?</v>
      </c>
      <c r="S488" s="8" t="e">
        <f ca="1">_xll.SNL.Clients.Office.Excel.Functions.SPG(A488, "SP_DEBT_TO_EQUITY", "LTM")</f>
        <v>#NAME?</v>
      </c>
      <c r="U488" s="9" t="e">
        <f t="shared" ca="1" si="7"/>
        <v>#VALUE!</v>
      </c>
      <c r="Y488" s="1"/>
      <c r="Z488" s="1"/>
      <c r="AA488" s="10"/>
      <c r="AB488" s="1" t="s">
        <v>1025</v>
      </c>
      <c r="AC488" s="1" t="s">
        <v>174</v>
      </c>
      <c r="AD488" s="10">
        <v>384.50742623999997</v>
      </c>
      <c r="AE488" s="1" t="s">
        <v>25</v>
      </c>
    </row>
    <row r="489" spans="1:31" x14ac:dyDescent="0.2">
      <c r="A489" s="1" t="s">
        <v>1026</v>
      </c>
      <c r="B489" s="2" t="s">
        <v>1408</v>
      </c>
      <c r="C489" s="3" t="s">
        <v>1409</v>
      </c>
      <c r="D489" s="2">
        <v>-91.295000000000002</v>
      </c>
      <c r="E489" s="2" t="s">
        <v>1409</v>
      </c>
      <c r="F489" s="4">
        <v>-0.96499999999999997</v>
      </c>
      <c r="G489" s="4">
        <v>-8.4237381223757009</v>
      </c>
      <c r="H489" s="2">
        <v>5.8000000000000003E-2</v>
      </c>
      <c r="I489" s="4" t="s">
        <v>1409</v>
      </c>
      <c r="J489" s="4" t="s">
        <v>1408</v>
      </c>
      <c r="K489" s="4">
        <v>0.90649400000000002</v>
      </c>
      <c r="L489" s="4" t="s">
        <v>1408</v>
      </c>
      <c r="N489" s="5" t="s">
        <v>1408</v>
      </c>
      <c r="O489" s="5">
        <v>-39226</v>
      </c>
      <c r="P489" s="6" t="e">
        <v>#VALUE!</v>
      </c>
      <c r="Q489" s="1"/>
      <c r="R489" s="7" t="e">
        <f ca="1">_xll.SNL.Clients.Office.Excel.Functions.SPG(A489, "SP_TOTAL_DEBT", "LTM")</f>
        <v>#NAME?</v>
      </c>
      <c r="S489" s="8" t="e">
        <f ca="1">_xll.SNL.Clients.Office.Excel.Functions.SPG(A489, "SP_DEBT_TO_EQUITY", "LTM")</f>
        <v>#NAME?</v>
      </c>
      <c r="U489" s="9" t="e">
        <f t="shared" ca="1" si="7"/>
        <v>#VALUE!</v>
      </c>
      <c r="Y489" s="1"/>
      <c r="Z489" s="1"/>
      <c r="AA489" s="10"/>
      <c r="AB489" s="1" t="s">
        <v>1027</v>
      </c>
      <c r="AC489" s="1" t="s">
        <v>65</v>
      </c>
      <c r="AD489" s="10">
        <v>409.40034198000001</v>
      </c>
      <c r="AE489" s="1" t="s">
        <v>25</v>
      </c>
    </row>
    <row r="490" spans="1:31" x14ac:dyDescent="0.2">
      <c r="A490" s="1" t="s">
        <v>1028</v>
      </c>
      <c r="B490" s="2" t="s">
        <v>1408</v>
      </c>
      <c r="C490" s="3">
        <v>-17.378048780487799</v>
      </c>
      <c r="D490" s="2">
        <v>10.808999999999999</v>
      </c>
      <c r="E490" s="2">
        <v>11.04059</v>
      </c>
      <c r="F490" s="4">
        <v>0.86399999999999999</v>
      </c>
      <c r="G490" s="4">
        <v>8.3808045572374894</v>
      </c>
      <c r="H490" s="2" t="s">
        <v>1408</v>
      </c>
      <c r="I490" s="4" t="s">
        <v>1408</v>
      </c>
      <c r="J490" s="4">
        <v>29.726345264590499</v>
      </c>
      <c r="K490" s="4">
        <v>0.87222699999999997</v>
      </c>
      <c r="L490" s="4" t="s">
        <v>1408</v>
      </c>
      <c r="N490" s="5" t="s">
        <v>1408</v>
      </c>
      <c r="O490" s="5">
        <v>83800</v>
      </c>
      <c r="P490" s="6" t="e">
        <v>#VALUE!</v>
      </c>
      <c r="Q490" s="1"/>
      <c r="R490" s="7" t="e">
        <f ca="1">_xll.SNL.Clients.Office.Excel.Functions.SPG(A490, "SP_TOTAL_DEBT", "LTM")</f>
        <v>#NAME?</v>
      </c>
      <c r="S490" s="8" t="e">
        <f ca="1">_xll.SNL.Clients.Office.Excel.Functions.SPG(A490, "SP_DEBT_TO_EQUITY", "LTM")</f>
        <v>#NAME?</v>
      </c>
      <c r="U490" s="9" t="e">
        <f t="shared" ca="1" si="7"/>
        <v>#VALUE!</v>
      </c>
      <c r="Y490" s="1"/>
      <c r="Z490" s="1"/>
      <c r="AA490" s="10"/>
      <c r="AB490" s="1" t="s">
        <v>1029</v>
      </c>
      <c r="AC490" s="1" t="s">
        <v>34</v>
      </c>
      <c r="AD490" s="10">
        <v>945.07632450000006</v>
      </c>
      <c r="AE490" s="1" t="s">
        <v>25</v>
      </c>
    </row>
    <row r="491" spans="1:31" x14ac:dyDescent="0.2">
      <c r="A491" s="1" t="s">
        <v>1030</v>
      </c>
      <c r="B491" s="2">
        <v>9.2620000000000005</v>
      </c>
      <c r="C491" s="3" t="s">
        <v>1408</v>
      </c>
      <c r="D491" s="2">
        <v>31.297000000000001</v>
      </c>
      <c r="E491" s="2">
        <v>12.299348999999999</v>
      </c>
      <c r="F491" s="4">
        <v>7.4790000000000001</v>
      </c>
      <c r="G491" s="4" t="s">
        <v>1408</v>
      </c>
      <c r="H491" s="2">
        <v>1.5149999999999999</v>
      </c>
      <c r="I491" s="4">
        <v>1.0269999999999999</v>
      </c>
      <c r="J491" s="4" t="s">
        <v>1408</v>
      </c>
      <c r="K491" s="4">
        <v>2.7338480000000001</v>
      </c>
      <c r="L491" s="4">
        <v>6.4226650000000003</v>
      </c>
      <c r="N491" s="5">
        <v>217700</v>
      </c>
      <c r="O491" s="5">
        <v>110800</v>
      </c>
      <c r="P491" s="6">
        <v>1.9648014440433212</v>
      </c>
      <c r="Q491" s="1"/>
      <c r="R491" s="7" t="e">
        <f ca="1">_xll.SNL.Clients.Office.Excel.Functions.SPG(A491, "SP_TOTAL_DEBT", "LTM")</f>
        <v>#NAME?</v>
      </c>
      <c r="S491" s="8" t="e">
        <f ca="1">_xll.SNL.Clients.Office.Excel.Functions.SPG(A491, "SP_DEBT_TO_EQUITY", "LTM")</f>
        <v>#NAME?</v>
      </c>
      <c r="U491" s="9" t="e">
        <f t="shared" ca="1" si="7"/>
        <v>#NAME?</v>
      </c>
      <c r="Y491" s="1"/>
      <c r="Z491" s="1"/>
      <c r="AA491" s="10"/>
      <c r="AB491" s="1" t="s">
        <v>1031</v>
      </c>
      <c r="AC491" s="1" t="s">
        <v>123</v>
      </c>
      <c r="AD491" s="10">
        <v>1300.1887360000001</v>
      </c>
      <c r="AE491" s="1" t="s">
        <v>25</v>
      </c>
    </row>
    <row r="492" spans="1:31" x14ac:dyDescent="0.2">
      <c r="A492" s="1" t="s">
        <v>1032</v>
      </c>
      <c r="B492" s="2">
        <v>-26.719000000000001</v>
      </c>
      <c r="C492" s="3" t="s">
        <v>1409</v>
      </c>
      <c r="D492" s="2">
        <v>110.59099999999999</v>
      </c>
      <c r="E492" s="2" t="s">
        <v>1409</v>
      </c>
      <c r="F492" s="4">
        <v>-5.1029999999999998</v>
      </c>
      <c r="G492" s="4">
        <v>-50.684072672847499</v>
      </c>
      <c r="H492" s="2">
        <v>1.452</v>
      </c>
      <c r="I492" s="4">
        <v>1.421</v>
      </c>
      <c r="J492" s="4" t="s">
        <v>1408</v>
      </c>
      <c r="K492" s="4">
        <v>3.3374259999999998</v>
      </c>
      <c r="L492" s="4" t="s">
        <v>1409</v>
      </c>
      <c r="N492" s="5">
        <v>-636381.625</v>
      </c>
      <c r="O492" s="5">
        <v>-347316</v>
      </c>
      <c r="P492" s="6">
        <v>1.8322842166787594</v>
      </c>
      <c r="Q492" s="1"/>
      <c r="R492" s="7" t="e">
        <f ca="1">_xll.SNL.Clients.Office.Excel.Functions.SPG(A492, "SP_TOTAL_DEBT", "LTM")</f>
        <v>#NAME?</v>
      </c>
      <c r="S492" s="8" t="e">
        <f ca="1">_xll.SNL.Clients.Office.Excel.Functions.SPG(A492, "SP_DEBT_TO_EQUITY", "LTM")</f>
        <v>#NAME?</v>
      </c>
      <c r="U492" s="9" t="e">
        <f t="shared" ca="1" si="7"/>
        <v>#NAME?</v>
      </c>
      <c r="Y492" s="1"/>
      <c r="Z492" s="1"/>
      <c r="AA492" s="10"/>
      <c r="AB492" s="1" t="s">
        <v>1033</v>
      </c>
      <c r="AC492" s="1" t="s">
        <v>60</v>
      </c>
      <c r="AD492" s="10">
        <v>2826.9741957199999</v>
      </c>
      <c r="AE492" s="1" t="s">
        <v>25</v>
      </c>
    </row>
    <row r="493" spans="1:31" x14ac:dyDescent="0.2">
      <c r="A493" s="1" t="s">
        <v>1034</v>
      </c>
      <c r="B493" s="2">
        <v>53.234000000000002</v>
      </c>
      <c r="C493" s="3">
        <v>0.39682539682538798</v>
      </c>
      <c r="D493" s="2">
        <v>6.1379999999999999</v>
      </c>
      <c r="E493" s="2">
        <v>23.622046999999998</v>
      </c>
      <c r="F493" s="4">
        <v>23.251999999999999</v>
      </c>
      <c r="G493" s="4">
        <v>94.389732122344597</v>
      </c>
      <c r="H493" s="2">
        <v>1.4359999999999999</v>
      </c>
      <c r="I493" s="4">
        <v>1.1080000000000001</v>
      </c>
      <c r="J493" s="4" t="s">
        <v>1408</v>
      </c>
      <c r="K493" s="4">
        <v>15.111347</v>
      </c>
      <c r="L493" s="4">
        <v>16.697223000000001</v>
      </c>
      <c r="N493" s="5">
        <v>23973.875</v>
      </c>
      <c r="O493" s="5">
        <v>29289</v>
      </c>
      <c r="P493" s="6">
        <v>0.81852828707023118</v>
      </c>
      <c r="Q493" s="1"/>
      <c r="R493" s="7" t="e">
        <f ca="1">_xll.SNL.Clients.Office.Excel.Functions.SPG(A493, "SP_TOTAL_DEBT", "LTM")</f>
        <v>#NAME?</v>
      </c>
      <c r="S493" s="8" t="e">
        <f ca="1">_xll.SNL.Clients.Office.Excel.Functions.SPG(A493, "SP_DEBT_TO_EQUITY", "LTM")</f>
        <v>#NAME?</v>
      </c>
      <c r="U493" s="9" t="e">
        <f t="shared" ca="1" si="7"/>
        <v>#NAME?</v>
      </c>
      <c r="Y493" s="1"/>
      <c r="Z493" s="1"/>
      <c r="AA493" s="10"/>
      <c r="AB493" s="1" t="s">
        <v>1035</v>
      </c>
      <c r="AC493" s="1" t="s">
        <v>177</v>
      </c>
      <c r="AD493" s="10">
        <v>675.70152412000004</v>
      </c>
      <c r="AE493" s="1" t="s">
        <v>25</v>
      </c>
    </row>
    <row r="494" spans="1:31" x14ac:dyDescent="0.2">
      <c r="A494" s="1" t="s">
        <v>1036</v>
      </c>
      <c r="B494" s="2">
        <v>4.5069999999999997</v>
      </c>
      <c r="C494" s="3">
        <v>200</v>
      </c>
      <c r="D494" s="2">
        <v>31.771000000000001</v>
      </c>
      <c r="E494" s="2" t="s">
        <v>1409</v>
      </c>
      <c r="F494" s="4">
        <v>3.839</v>
      </c>
      <c r="G494" s="4">
        <v>7.2771580740989599</v>
      </c>
      <c r="H494" s="2">
        <v>1.246</v>
      </c>
      <c r="I494" s="4">
        <v>0.32400000000000001</v>
      </c>
      <c r="J494" s="4" t="s">
        <v>1408</v>
      </c>
      <c r="K494" s="4">
        <v>2.6945030000000001</v>
      </c>
      <c r="L494" s="4">
        <v>16.922598000000001</v>
      </c>
      <c r="N494" s="5">
        <v>117059.5</v>
      </c>
      <c r="O494" s="5">
        <v>-1043</v>
      </c>
      <c r="P494" s="6">
        <v>-112.23346116970278</v>
      </c>
      <c r="Q494" s="1"/>
      <c r="R494" s="7" t="e">
        <f ca="1">_xll.SNL.Clients.Office.Excel.Functions.SPG(A494, "SP_TOTAL_DEBT", "LTM")</f>
        <v>#NAME?</v>
      </c>
      <c r="S494" s="8" t="e">
        <f ca="1">_xll.SNL.Clients.Office.Excel.Functions.SPG(A494, "SP_DEBT_TO_EQUITY", "LTM")</f>
        <v>#NAME?</v>
      </c>
      <c r="U494" s="9" t="e">
        <f t="shared" ca="1" si="7"/>
        <v>#NAME?</v>
      </c>
      <c r="Y494" s="1"/>
      <c r="Z494" s="1"/>
      <c r="AA494" s="10"/>
      <c r="AB494" s="1" t="s">
        <v>1037</v>
      </c>
      <c r="AC494" s="1" t="s">
        <v>37</v>
      </c>
      <c r="AD494" s="10">
        <v>1076.0022104</v>
      </c>
      <c r="AE494" s="1" t="s">
        <v>25</v>
      </c>
    </row>
    <row r="495" spans="1:31" x14ac:dyDescent="0.2">
      <c r="A495" s="1" t="s">
        <v>1038</v>
      </c>
      <c r="B495" s="2" t="s">
        <v>1408</v>
      </c>
      <c r="C495" s="3">
        <v>-89.597315436241601</v>
      </c>
      <c r="D495" s="2">
        <v>-43.536999999999999</v>
      </c>
      <c r="E495" s="2">
        <v>78.548387000000005</v>
      </c>
      <c r="F495" s="4">
        <v>0.152</v>
      </c>
      <c r="G495" s="4">
        <v>1.08469990215481</v>
      </c>
      <c r="H495" s="2" t="s">
        <v>1408</v>
      </c>
      <c r="I495" s="4" t="s">
        <v>1408</v>
      </c>
      <c r="J495" s="4">
        <v>41.1435445113665</v>
      </c>
      <c r="K495" s="4">
        <v>0.80974999999999997</v>
      </c>
      <c r="L495" s="4" t="s">
        <v>1408</v>
      </c>
      <c r="N495" s="5" t="s">
        <v>1408</v>
      </c>
      <c r="O495" s="5">
        <v>30852</v>
      </c>
      <c r="P495" s="6" t="e">
        <v>#VALUE!</v>
      </c>
      <c r="Q495" s="1"/>
      <c r="R495" s="7" t="e">
        <f ca="1">_xll.SNL.Clients.Office.Excel.Functions.SPG(A495, "SP_TOTAL_DEBT", "LTM")</f>
        <v>#NAME?</v>
      </c>
      <c r="S495" s="8" t="e">
        <f ca="1">_xll.SNL.Clients.Office.Excel.Functions.SPG(A495, "SP_DEBT_TO_EQUITY", "LTM")</f>
        <v>#NAME?</v>
      </c>
      <c r="U495" s="9" t="e">
        <f t="shared" ca="1" si="7"/>
        <v>#VALUE!</v>
      </c>
      <c r="Y495" s="1"/>
      <c r="Z495" s="1"/>
      <c r="AA495" s="10"/>
      <c r="AB495" s="1" t="s">
        <v>1039</v>
      </c>
      <c r="AC495" s="1" t="s">
        <v>34</v>
      </c>
      <c r="AD495" s="10">
        <v>2431.9705340400001</v>
      </c>
      <c r="AE495" s="1" t="s">
        <v>25</v>
      </c>
    </row>
    <row r="496" spans="1:31" x14ac:dyDescent="0.2">
      <c r="A496" s="1" t="s">
        <v>1040</v>
      </c>
      <c r="B496" s="2">
        <v>15.67</v>
      </c>
      <c r="C496" s="3" t="s">
        <v>1408</v>
      </c>
      <c r="D496" s="2">
        <v>14.974</v>
      </c>
      <c r="E496" s="2">
        <v>7.6056660000000003</v>
      </c>
      <c r="F496" s="4">
        <v>2.7410000000000001</v>
      </c>
      <c r="G496" s="4" t="s">
        <v>1408</v>
      </c>
      <c r="H496" s="2">
        <v>1.0429999999999999</v>
      </c>
      <c r="I496" s="4">
        <v>0.25900000000000001</v>
      </c>
      <c r="J496" s="4" t="s">
        <v>1408</v>
      </c>
      <c r="K496" s="4">
        <v>1.2671490000000001</v>
      </c>
      <c r="L496" s="4">
        <v>4.8873309999999996</v>
      </c>
      <c r="N496" s="5">
        <v>228060.5</v>
      </c>
      <c r="O496" s="5">
        <v>703249</v>
      </c>
      <c r="P496" s="6">
        <v>0.32429551979455357</v>
      </c>
      <c r="Q496" s="1"/>
      <c r="R496" s="7" t="e">
        <f ca="1">_xll.SNL.Clients.Office.Excel.Functions.SPG(A496, "SP_TOTAL_DEBT", "LTM")</f>
        <v>#NAME?</v>
      </c>
      <c r="S496" s="8" t="e">
        <f ca="1">_xll.SNL.Clients.Office.Excel.Functions.SPG(A496, "SP_DEBT_TO_EQUITY", "LTM")</f>
        <v>#NAME?</v>
      </c>
      <c r="U496" s="9" t="e">
        <f t="shared" ca="1" si="7"/>
        <v>#NAME?</v>
      </c>
      <c r="Y496" s="1"/>
      <c r="Z496" s="1"/>
      <c r="AA496" s="10"/>
      <c r="AB496" s="1" t="s">
        <v>1041</v>
      </c>
      <c r="AC496" s="1" t="s">
        <v>60</v>
      </c>
      <c r="AD496" s="10">
        <v>972.13474400441805</v>
      </c>
      <c r="AE496" s="1" t="s">
        <v>42</v>
      </c>
    </row>
    <row r="497" spans="1:31" x14ac:dyDescent="0.2">
      <c r="A497" s="1" t="s">
        <v>1042</v>
      </c>
      <c r="B497" s="2">
        <v>26.972000000000001</v>
      </c>
      <c r="C497" s="3">
        <v>30.195128899017199</v>
      </c>
      <c r="D497" s="2">
        <v>47.186999999999998</v>
      </c>
      <c r="E497" s="2">
        <v>13.865022</v>
      </c>
      <c r="F497" s="4">
        <v>7.3</v>
      </c>
      <c r="G497" s="4">
        <v>13.4762233254179</v>
      </c>
      <c r="H497" s="2">
        <v>1.4350000000000001</v>
      </c>
      <c r="I497" s="4">
        <v>0.33800000000000002</v>
      </c>
      <c r="J497" s="4" t="s">
        <v>1408</v>
      </c>
      <c r="K497" s="4">
        <v>1.6615150000000001</v>
      </c>
      <c r="L497" s="4">
        <v>3.0001920000000002</v>
      </c>
      <c r="N497" s="5">
        <v>1317280.25</v>
      </c>
      <c r="O497" s="5">
        <v>1573301</v>
      </c>
      <c r="P497" s="6">
        <v>0.83727160282743096</v>
      </c>
      <c r="Q497" s="1"/>
      <c r="R497" s="7" t="e">
        <f ca="1">_xll.SNL.Clients.Office.Excel.Functions.SPG(A497, "SP_TOTAL_DEBT", "LTM")</f>
        <v>#NAME?</v>
      </c>
      <c r="S497" s="8" t="e">
        <f ca="1">_xll.SNL.Clients.Office.Excel.Functions.SPG(A497, "SP_DEBT_TO_EQUITY", "LTM")</f>
        <v>#NAME?</v>
      </c>
      <c r="U497" s="9" t="e">
        <f t="shared" ca="1" si="7"/>
        <v>#NAME?</v>
      </c>
      <c r="Y497" s="1"/>
      <c r="Z497" s="1"/>
      <c r="AA497" s="10"/>
      <c r="AB497" s="1" t="s">
        <v>1043</v>
      </c>
      <c r="AC497" s="1" t="s">
        <v>167</v>
      </c>
      <c r="AD497" s="10">
        <v>4114.8906598800004</v>
      </c>
      <c r="AE497" s="1" t="s">
        <v>42</v>
      </c>
    </row>
    <row r="498" spans="1:31" x14ac:dyDescent="0.2">
      <c r="A498" s="1" t="s">
        <v>1044</v>
      </c>
      <c r="B498" s="2">
        <v>10.464</v>
      </c>
      <c r="C498" s="3">
        <v>14.7727272727273</v>
      </c>
      <c r="D498" s="2">
        <v>32.000999999999998</v>
      </c>
      <c r="E498" s="2">
        <v>20.773578000000001</v>
      </c>
      <c r="F498" s="4">
        <v>4.3319999999999999</v>
      </c>
      <c r="G498" s="4">
        <v>13.395436256775399</v>
      </c>
      <c r="H498" s="2">
        <v>0.56100000000000005</v>
      </c>
      <c r="I498" s="4">
        <v>0.253</v>
      </c>
      <c r="J498" s="4" t="s">
        <v>1408</v>
      </c>
      <c r="K498" s="4">
        <v>3.4518990000000001</v>
      </c>
      <c r="L498" s="4">
        <v>14.399962</v>
      </c>
      <c r="N498" s="5">
        <v>223475.125</v>
      </c>
      <c r="O498" s="5">
        <v>72067</v>
      </c>
      <c r="P498" s="6">
        <v>3.1009355877169855</v>
      </c>
      <c r="Q498" s="1"/>
      <c r="R498" s="7" t="e">
        <f ca="1">_xll.SNL.Clients.Office.Excel.Functions.SPG(A498, "SP_TOTAL_DEBT", "LTM")</f>
        <v>#NAME?</v>
      </c>
      <c r="S498" s="8" t="e">
        <f ca="1">_xll.SNL.Clients.Office.Excel.Functions.SPG(A498, "SP_DEBT_TO_EQUITY", "LTM")</f>
        <v>#NAME?</v>
      </c>
      <c r="U498" s="9" t="e">
        <f t="shared" ca="1" si="7"/>
        <v>#NAME?</v>
      </c>
      <c r="Y498" s="1"/>
      <c r="Z498" s="1"/>
      <c r="AA498" s="10"/>
      <c r="AB498" s="1" t="s">
        <v>1045</v>
      </c>
      <c r="AC498" s="1" t="s">
        <v>95</v>
      </c>
      <c r="AD498" s="10">
        <v>1480.6629310000001</v>
      </c>
      <c r="AE498" s="1" t="s">
        <v>25</v>
      </c>
    </row>
    <row r="499" spans="1:31" x14ac:dyDescent="0.2">
      <c r="A499" s="1" t="s">
        <v>1046</v>
      </c>
      <c r="B499" s="2" t="s">
        <v>1408</v>
      </c>
      <c r="C499" s="3">
        <v>-13.9072847682119</v>
      </c>
      <c r="D499" s="2">
        <v>-3.2589999999999999</v>
      </c>
      <c r="E499" s="2">
        <v>16.311537999999999</v>
      </c>
      <c r="F499" s="4">
        <v>1.2869999999999999</v>
      </c>
      <c r="G499" s="4">
        <v>11.5512745375945</v>
      </c>
      <c r="H499" s="2" t="s">
        <v>1408</v>
      </c>
      <c r="I499" s="4" t="s">
        <v>1408</v>
      </c>
      <c r="J499" s="4">
        <v>34.107915005742903</v>
      </c>
      <c r="K499" s="4">
        <v>1.7903830000000001</v>
      </c>
      <c r="L499" s="4" t="s">
        <v>1408</v>
      </c>
      <c r="N499" s="5" t="s">
        <v>1408</v>
      </c>
      <c r="O499" s="5">
        <v>126734</v>
      </c>
      <c r="P499" s="6" t="e">
        <v>#VALUE!</v>
      </c>
      <c r="Q499" s="1"/>
      <c r="R499" s="7" t="e">
        <f ca="1">_xll.SNL.Clients.Office.Excel.Functions.SPG(A499, "SP_TOTAL_DEBT", "LTM")</f>
        <v>#NAME?</v>
      </c>
      <c r="S499" s="8" t="e">
        <f ca="1">_xll.SNL.Clients.Office.Excel.Functions.SPG(A499, "SP_DEBT_TO_EQUITY", "LTM")</f>
        <v>#NAME?</v>
      </c>
      <c r="U499" s="9" t="e">
        <f t="shared" ca="1" si="7"/>
        <v>#VALUE!</v>
      </c>
      <c r="Y499" s="1"/>
      <c r="Z499" s="1"/>
      <c r="AA499" s="10"/>
      <c r="AB499" s="1" t="s">
        <v>1047</v>
      </c>
      <c r="AC499" s="1" t="s">
        <v>34</v>
      </c>
      <c r="AD499" s="10">
        <v>2106.1014757200001</v>
      </c>
      <c r="AE499" s="1" t="s">
        <v>25</v>
      </c>
    </row>
    <row r="500" spans="1:31" x14ac:dyDescent="0.2">
      <c r="A500" s="1" t="s">
        <v>1048</v>
      </c>
      <c r="B500" s="2">
        <v>10.1</v>
      </c>
      <c r="C500" s="3" t="s">
        <v>1408</v>
      </c>
      <c r="D500" s="2" t="s">
        <v>1409</v>
      </c>
      <c r="E500" s="2">
        <v>5.3966760000000003</v>
      </c>
      <c r="F500" s="4">
        <v>12.147</v>
      </c>
      <c r="G500" s="4" t="s">
        <v>1408</v>
      </c>
      <c r="H500" s="2">
        <v>19.013000000000002</v>
      </c>
      <c r="I500" s="4">
        <v>0.19500000000000001</v>
      </c>
      <c r="J500" s="4" t="s">
        <v>1408</v>
      </c>
      <c r="K500" s="4">
        <v>1.045504</v>
      </c>
      <c r="L500" s="4" t="s">
        <v>1408</v>
      </c>
      <c r="N500" s="5">
        <v>686725.5</v>
      </c>
      <c r="O500" s="5">
        <v>1057271</v>
      </c>
      <c r="P500" s="6">
        <v>0.6495264695617301</v>
      </c>
      <c r="Q500" s="1"/>
      <c r="R500" s="7" t="e">
        <f ca="1">_xll.SNL.Clients.Office.Excel.Functions.SPG(A500, "SP_TOTAL_DEBT", "LTM")</f>
        <v>#NAME?</v>
      </c>
      <c r="S500" s="8" t="e">
        <f ca="1">_xll.SNL.Clients.Office.Excel.Functions.SPG(A500, "SP_DEBT_TO_EQUITY", "LTM")</f>
        <v>#NAME?</v>
      </c>
      <c r="U500" s="9" t="e">
        <f t="shared" ca="1" si="7"/>
        <v>#NAME?</v>
      </c>
      <c r="Y500" s="1"/>
      <c r="Z500" s="1"/>
      <c r="AA500" s="10"/>
      <c r="AB500" s="1" t="s">
        <v>1049</v>
      </c>
      <c r="AC500" s="1" t="s">
        <v>37</v>
      </c>
      <c r="AD500" s="10">
        <v>5012.3584075895596</v>
      </c>
      <c r="AE500" s="1" t="s">
        <v>25</v>
      </c>
    </row>
    <row r="501" spans="1:31" x14ac:dyDescent="0.2">
      <c r="A501" s="1" t="s">
        <v>1050</v>
      </c>
      <c r="B501" s="2" t="s">
        <v>1408</v>
      </c>
      <c r="C501" s="3">
        <v>13.8783269961977</v>
      </c>
      <c r="D501" s="2">
        <v>12.436999999999999</v>
      </c>
      <c r="E501" s="2">
        <v>8.0733339999999991</v>
      </c>
      <c r="F501" s="4">
        <v>2.266</v>
      </c>
      <c r="G501" s="4">
        <v>24.6957840208044</v>
      </c>
      <c r="H501" s="2" t="s">
        <v>1408</v>
      </c>
      <c r="I501" s="4" t="s">
        <v>1408</v>
      </c>
      <c r="J501" s="4" t="s">
        <v>1408</v>
      </c>
      <c r="K501" s="4">
        <v>1.7562850000000001</v>
      </c>
      <c r="L501" s="4" t="s">
        <v>1408</v>
      </c>
      <c r="N501" s="5" t="s">
        <v>1408</v>
      </c>
      <c r="O501" s="5">
        <v>165299</v>
      </c>
      <c r="P501" s="6" t="e">
        <v>#VALUE!</v>
      </c>
      <c r="Q501" s="1"/>
      <c r="R501" s="7" t="e">
        <f ca="1">_xll.SNL.Clients.Office.Excel.Functions.SPG(A501, "SP_TOTAL_DEBT", "LTM")</f>
        <v>#NAME?</v>
      </c>
      <c r="S501" s="8" t="e">
        <f ca="1">_xll.SNL.Clients.Office.Excel.Functions.SPG(A501, "SP_DEBT_TO_EQUITY", "LTM")</f>
        <v>#NAME?</v>
      </c>
      <c r="U501" s="9" t="e">
        <f t="shared" ca="1" si="7"/>
        <v>#VALUE!</v>
      </c>
      <c r="Y501" s="1"/>
      <c r="Z501" s="1"/>
      <c r="AA501" s="10"/>
      <c r="AB501" s="1" t="s">
        <v>1051</v>
      </c>
      <c r="AC501" s="1" t="s">
        <v>34</v>
      </c>
      <c r="AD501" s="10">
        <v>1345.6705494</v>
      </c>
      <c r="AE501" s="1" t="s">
        <v>25</v>
      </c>
    </row>
    <row r="502" spans="1:31" x14ac:dyDescent="0.2">
      <c r="A502" s="1" t="s">
        <v>1052</v>
      </c>
      <c r="B502" s="2">
        <v>12.173</v>
      </c>
      <c r="C502" s="3">
        <v>-29.896964448293499</v>
      </c>
      <c r="D502" s="2">
        <v>9.92</v>
      </c>
      <c r="E502" s="2">
        <v>17.804265999999998</v>
      </c>
      <c r="F502" s="4">
        <v>8.7789999999999999</v>
      </c>
      <c r="G502" s="4">
        <v>17.753683768167701</v>
      </c>
      <c r="H502" s="2">
        <v>1.179</v>
      </c>
      <c r="I502" s="4">
        <v>0.32600000000000001</v>
      </c>
      <c r="J502" s="4" t="s">
        <v>1408</v>
      </c>
      <c r="K502" s="4">
        <v>4.0811039999999998</v>
      </c>
      <c r="L502" s="4">
        <v>13.064458999999999</v>
      </c>
      <c r="N502" s="5">
        <v>125883.75</v>
      </c>
      <c r="O502" s="5">
        <v>119087</v>
      </c>
      <c r="P502" s="6">
        <v>1.0570738199803504</v>
      </c>
      <c r="Q502" s="1"/>
      <c r="R502" s="7" t="e">
        <f ca="1">_xll.SNL.Clients.Office.Excel.Functions.SPG(A502, "SP_TOTAL_DEBT", "LTM")</f>
        <v>#NAME?</v>
      </c>
      <c r="S502" s="8" t="e">
        <f ca="1">_xll.SNL.Clients.Office.Excel.Functions.SPG(A502, "SP_DEBT_TO_EQUITY", "LTM")</f>
        <v>#NAME?</v>
      </c>
      <c r="U502" s="9" t="e">
        <f t="shared" ca="1" si="7"/>
        <v>#NAME?</v>
      </c>
      <c r="Y502" s="1"/>
      <c r="Z502" s="1"/>
      <c r="AA502" s="10"/>
      <c r="AB502" s="1" t="s">
        <v>1053</v>
      </c>
      <c r="AC502" s="1" t="s">
        <v>37</v>
      </c>
      <c r="AD502" s="10">
        <v>2115.5836952599998</v>
      </c>
      <c r="AE502" s="1" t="s">
        <v>42</v>
      </c>
    </row>
    <row r="503" spans="1:31" x14ac:dyDescent="0.2">
      <c r="A503" s="1" t="s">
        <v>1054</v>
      </c>
      <c r="B503" s="2">
        <v>-0.46100000000000002</v>
      </c>
      <c r="C503" s="3">
        <v>-100</v>
      </c>
      <c r="D503" s="2">
        <v>25.655999999999999</v>
      </c>
      <c r="E503" s="2">
        <v>147.45283000000001</v>
      </c>
      <c r="F503" s="4">
        <v>1.2849999999999999</v>
      </c>
      <c r="G503" s="4">
        <v>-0.13128905441489799</v>
      </c>
      <c r="H503" s="2">
        <v>4.2839999999999998</v>
      </c>
      <c r="I503" s="4">
        <v>1.1399999999999999</v>
      </c>
      <c r="J503" s="4" t="s">
        <v>1408</v>
      </c>
      <c r="K503" s="4">
        <v>4.6311109999999998</v>
      </c>
      <c r="L503" s="4">
        <v>77.303618</v>
      </c>
      <c r="N503" s="5">
        <v>11558.25</v>
      </c>
      <c r="O503" s="5">
        <v>13877</v>
      </c>
      <c r="P503" s="6">
        <v>0.8329069683649204</v>
      </c>
      <c r="Q503" s="1"/>
      <c r="R503" s="7" t="e">
        <f ca="1">_xll.SNL.Clients.Office.Excel.Functions.SPG(A503, "SP_TOTAL_DEBT", "LTM")</f>
        <v>#NAME?</v>
      </c>
      <c r="S503" s="8" t="e">
        <f ca="1">_xll.SNL.Clients.Office.Excel.Functions.SPG(A503, "SP_DEBT_TO_EQUITY", "LTM")</f>
        <v>#NAME?</v>
      </c>
      <c r="U503" s="9" t="e">
        <f t="shared" ca="1" si="7"/>
        <v>#NAME?</v>
      </c>
      <c r="Y503" s="1"/>
      <c r="Z503" s="1"/>
      <c r="AA503" s="10"/>
      <c r="AB503" s="1" t="s">
        <v>1055</v>
      </c>
      <c r="AC503" s="1" t="s">
        <v>167</v>
      </c>
      <c r="AD503" s="10">
        <v>1961.8398758400001</v>
      </c>
      <c r="AE503" s="1" t="s">
        <v>25</v>
      </c>
    </row>
    <row r="504" spans="1:31" x14ac:dyDescent="0.2">
      <c r="A504" s="1" t="s">
        <v>1056</v>
      </c>
      <c r="B504" s="2">
        <v>-2.476</v>
      </c>
      <c r="C504" s="3" t="s">
        <v>1408</v>
      </c>
      <c r="D504" s="2">
        <v>32.576999999999998</v>
      </c>
      <c r="E504" s="2">
        <v>32.384106000000003</v>
      </c>
      <c r="F504" s="4">
        <v>0.77400000000000002</v>
      </c>
      <c r="G504" s="4" t="s">
        <v>1408</v>
      </c>
      <c r="H504" s="2">
        <v>1.1000000000000001</v>
      </c>
      <c r="I504" s="4">
        <v>0.13200000000000001</v>
      </c>
      <c r="J504" s="4" t="s">
        <v>1408</v>
      </c>
      <c r="K504" s="4">
        <v>2.7518289999999999</v>
      </c>
      <c r="L504" s="4">
        <v>12.522201000000001</v>
      </c>
      <c r="N504" s="5">
        <v>107478</v>
      </c>
      <c r="O504" s="5">
        <v>56161</v>
      </c>
      <c r="P504" s="6">
        <v>1.9137479745731023</v>
      </c>
      <c r="Q504" s="1"/>
      <c r="R504" s="7" t="e">
        <f ca="1">_xll.SNL.Clients.Office.Excel.Functions.SPG(A504, "SP_TOTAL_DEBT", "LTM")</f>
        <v>#NAME?</v>
      </c>
      <c r="S504" s="8" t="e">
        <f ca="1">_xll.SNL.Clients.Office.Excel.Functions.SPG(A504, "SP_DEBT_TO_EQUITY", "LTM")</f>
        <v>#NAME?</v>
      </c>
      <c r="U504" s="9" t="e">
        <f t="shared" ca="1" si="7"/>
        <v>#NAME?</v>
      </c>
      <c r="Y504" s="1"/>
      <c r="Z504" s="1"/>
      <c r="AA504" s="10"/>
      <c r="AB504" s="1" t="s">
        <v>1057</v>
      </c>
      <c r="AC504" s="1" t="s">
        <v>167</v>
      </c>
      <c r="AD504" s="10">
        <v>1693.26363492</v>
      </c>
      <c r="AE504" s="1" t="s">
        <v>25</v>
      </c>
    </row>
    <row r="505" spans="1:31" x14ac:dyDescent="0.2">
      <c r="A505" s="1" t="s">
        <v>1058</v>
      </c>
      <c r="B505" s="2" t="s">
        <v>1408</v>
      </c>
      <c r="C505" s="3">
        <v>-32.25</v>
      </c>
      <c r="D505" s="2">
        <v>-8.6999999999999993</v>
      </c>
      <c r="E505" s="2">
        <v>9.4907749999999993</v>
      </c>
      <c r="F505" s="4">
        <v>0.76200000000000001</v>
      </c>
      <c r="G505" s="4">
        <v>8.7717345245875702</v>
      </c>
      <c r="H505" s="2" t="s">
        <v>1408</v>
      </c>
      <c r="I505" s="4" t="s">
        <v>1408</v>
      </c>
      <c r="J505" s="4">
        <v>30.171775184542799</v>
      </c>
      <c r="K505" s="4">
        <v>0.77362699999999995</v>
      </c>
      <c r="L505" s="4" t="s">
        <v>1408</v>
      </c>
      <c r="N505" s="5" t="s">
        <v>1408</v>
      </c>
      <c r="O505" s="5">
        <v>48854</v>
      </c>
      <c r="P505" s="6" t="e">
        <v>#VALUE!</v>
      </c>
      <c r="Q505" s="1"/>
      <c r="R505" s="7" t="e">
        <f ca="1">_xll.SNL.Clients.Office.Excel.Functions.SPG(A505, "SP_TOTAL_DEBT", "LTM")</f>
        <v>#NAME?</v>
      </c>
      <c r="S505" s="8" t="e">
        <f ca="1">_xll.SNL.Clients.Office.Excel.Functions.SPG(A505, "SP_DEBT_TO_EQUITY", "LTM")</f>
        <v>#NAME?</v>
      </c>
      <c r="U505" s="9" t="e">
        <f t="shared" ca="1" si="7"/>
        <v>#VALUE!</v>
      </c>
      <c r="Y505" s="1"/>
      <c r="Z505" s="1"/>
      <c r="AA505" s="10"/>
      <c r="AB505" s="1" t="s">
        <v>1059</v>
      </c>
      <c r="AC505" s="1" t="s">
        <v>34</v>
      </c>
      <c r="AD505" s="10">
        <v>484.21155202</v>
      </c>
      <c r="AE505" s="1" t="s">
        <v>25</v>
      </c>
    </row>
    <row r="506" spans="1:31" x14ac:dyDescent="0.2">
      <c r="A506" s="1" t="s">
        <v>1060</v>
      </c>
      <c r="B506" s="2" t="s">
        <v>1408</v>
      </c>
      <c r="C506" s="3">
        <v>-67.764705882352899</v>
      </c>
      <c r="D506" s="2">
        <v>23.257000000000001</v>
      </c>
      <c r="E506" s="2">
        <v>32.748175000000003</v>
      </c>
      <c r="F506" s="4">
        <v>0.81100000000000005</v>
      </c>
      <c r="G506" s="4">
        <v>4.13047682185484</v>
      </c>
      <c r="H506" s="2">
        <v>1.0469999999999999</v>
      </c>
      <c r="I506" s="4">
        <v>0.113</v>
      </c>
      <c r="J506" s="4">
        <v>24.399638713065102</v>
      </c>
      <c r="K506" s="4">
        <v>1.272405</v>
      </c>
      <c r="L506" s="4" t="s">
        <v>1408</v>
      </c>
      <c r="N506" s="5" t="s">
        <v>1408</v>
      </c>
      <c r="O506" s="5">
        <v>144656</v>
      </c>
      <c r="P506" s="6" t="e">
        <v>#VALUE!</v>
      </c>
      <c r="Q506" s="1"/>
      <c r="R506" s="7" t="e">
        <f ca="1">_xll.SNL.Clients.Office.Excel.Functions.SPG(A506, "SP_TOTAL_DEBT", "LTM")</f>
        <v>#NAME?</v>
      </c>
      <c r="S506" s="8" t="e">
        <f ca="1">_xll.SNL.Clients.Office.Excel.Functions.SPG(A506, "SP_DEBT_TO_EQUITY", "LTM")</f>
        <v>#NAME?</v>
      </c>
      <c r="U506" s="9" t="e">
        <f t="shared" ca="1" si="7"/>
        <v>#VALUE!</v>
      </c>
      <c r="Y506" s="1"/>
      <c r="Z506" s="1"/>
      <c r="AA506" s="10"/>
      <c r="AB506" s="1" t="s">
        <v>1061</v>
      </c>
      <c r="AC506" s="1" t="s">
        <v>164</v>
      </c>
      <c r="AD506" s="10">
        <v>4354.5240894400004</v>
      </c>
      <c r="AE506" s="1" t="s">
        <v>25</v>
      </c>
    </row>
    <row r="507" spans="1:31" x14ac:dyDescent="0.2">
      <c r="A507" s="1" t="s">
        <v>1062</v>
      </c>
      <c r="B507" s="2" t="s">
        <v>1408</v>
      </c>
      <c r="C507" s="3" t="s">
        <v>1409</v>
      </c>
      <c r="D507" s="2" t="s">
        <v>1408</v>
      </c>
      <c r="E507" s="2">
        <v>11.38245</v>
      </c>
      <c r="F507" s="4" t="s">
        <v>1408</v>
      </c>
      <c r="G507" s="4">
        <v>10.223906884170599</v>
      </c>
      <c r="H507" s="2" t="s">
        <v>1408</v>
      </c>
      <c r="I507" s="4" t="s">
        <v>1408</v>
      </c>
      <c r="J507" s="4" t="s">
        <v>1408</v>
      </c>
      <c r="K507" s="4">
        <v>0.84750999999999999</v>
      </c>
      <c r="L507" s="4" t="s">
        <v>1408</v>
      </c>
      <c r="N507" s="5" t="s">
        <v>1408</v>
      </c>
      <c r="O507" s="5">
        <v>199654</v>
      </c>
      <c r="P507" s="6" t="e">
        <v>#VALUE!</v>
      </c>
      <c r="Q507" s="1"/>
      <c r="R507" s="7" t="e">
        <f ca="1">_xll.SNL.Clients.Office.Excel.Functions.SPG(A507, "SP_TOTAL_DEBT", "LTM")</f>
        <v>#NAME?</v>
      </c>
      <c r="S507" s="8" t="e">
        <f ca="1">_xll.SNL.Clients.Office.Excel.Functions.SPG(A507, "SP_DEBT_TO_EQUITY", "LTM")</f>
        <v>#NAME?</v>
      </c>
      <c r="U507" s="9" t="e">
        <f t="shared" ca="1" si="7"/>
        <v>#VALUE!</v>
      </c>
      <c r="Y507" s="1"/>
      <c r="Z507" s="1"/>
      <c r="AA507" s="10"/>
      <c r="AB507" s="1" t="s">
        <v>1063</v>
      </c>
      <c r="AC507" s="1" t="s">
        <v>65</v>
      </c>
      <c r="AD507" s="10">
        <v>1242.18879096</v>
      </c>
      <c r="AE507" s="1" t="s">
        <v>25</v>
      </c>
    </row>
    <row r="508" spans="1:31" x14ac:dyDescent="0.2">
      <c r="A508" s="1" t="s">
        <v>1064</v>
      </c>
      <c r="B508" s="2" t="s">
        <v>1408</v>
      </c>
      <c r="C508" s="3">
        <v>-4.44444444444445</v>
      </c>
      <c r="D508" s="2">
        <v>22.672000000000001</v>
      </c>
      <c r="E508" s="2">
        <v>8.1075579999999992</v>
      </c>
      <c r="F508" s="4">
        <v>1.385</v>
      </c>
      <c r="G508" s="4">
        <v>12.0496770291572</v>
      </c>
      <c r="H508" s="2" t="s">
        <v>1408</v>
      </c>
      <c r="I508" s="4" t="s">
        <v>1408</v>
      </c>
      <c r="J508" s="4" t="s">
        <v>1408</v>
      </c>
      <c r="K508" s="4">
        <v>0.91755500000000001</v>
      </c>
      <c r="L508" s="4" t="s">
        <v>1408</v>
      </c>
      <c r="N508" s="5" t="s">
        <v>1408</v>
      </c>
      <c r="O508" s="5">
        <v>113363</v>
      </c>
      <c r="P508" s="6" t="e">
        <v>#VALUE!</v>
      </c>
      <c r="Q508" s="1"/>
      <c r="R508" s="7" t="e">
        <f ca="1">_xll.SNL.Clients.Office.Excel.Functions.SPG(A508, "SP_TOTAL_DEBT", "LTM")</f>
        <v>#NAME?</v>
      </c>
      <c r="S508" s="8" t="e">
        <f ca="1">_xll.SNL.Clients.Office.Excel.Functions.SPG(A508, "SP_DEBT_TO_EQUITY", "LTM")</f>
        <v>#NAME?</v>
      </c>
      <c r="U508" s="9" t="e">
        <f t="shared" ca="1" si="7"/>
        <v>#VALUE!</v>
      </c>
      <c r="Y508" s="1"/>
      <c r="Z508" s="1"/>
      <c r="AA508" s="10"/>
      <c r="AB508" s="1" t="s">
        <v>1065</v>
      </c>
      <c r="AC508" s="1" t="s">
        <v>34</v>
      </c>
      <c r="AD508" s="10">
        <v>1018.1781351</v>
      </c>
      <c r="AE508" s="1" t="s">
        <v>25</v>
      </c>
    </row>
    <row r="509" spans="1:31" x14ac:dyDescent="0.2">
      <c r="A509" s="1" t="s">
        <v>1066</v>
      </c>
      <c r="B509" s="2" t="s">
        <v>1408</v>
      </c>
      <c r="C509" s="3">
        <v>-27.4621212121212</v>
      </c>
      <c r="D509" s="2">
        <v>-7.1470000000000002</v>
      </c>
      <c r="E509" s="2">
        <v>10.522193</v>
      </c>
      <c r="F509" s="4">
        <v>0.751</v>
      </c>
      <c r="G509" s="4">
        <v>8.3165513952548906</v>
      </c>
      <c r="H509" s="2" t="s">
        <v>1408</v>
      </c>
      <c r="I509" s="4" t="s">
        <v>1408</v>
      </c>
      <c r="J509" s="4">
        <v>33.969469434718398</v>
      </c>
      <c r="K509" s="4">
        <v>0.83350599999999997</v>
      </c>
      <c r="L509" s="4" t="s">
        <v>1408</v>
      </c>
      <c r="N509" s="5" t="s">
        <v>1408</v>
      </c>
      <c r="O509" s="5">
        <v>27380</v>
      </c>
      <c r="P509" s="6" t="e">
        <v>#VALUE!</v>
      </c>
      <c r="Q509" s="1"/>
      <c r="R509" s="7" t="e">
        <f ca="1">_xll.SNL.Clients.Office.Excel.Functions.SPG(A509, "SP_TOTAL_DEBT", "LTM")</f>
        <v>#NAME?</v>
      </c>
      <c r="S509" s="8" t="e">
        <f ca="1">_xll.SNL.Clients.Office.Excel.Functions.SPG(A509, "SP_DEBT_TO_EQUITY", "LTM")</f>
        <v>#NAME?</v>
      </c>
      <c r="U509" s="9" t="e">
        <f t="shared" ca="1" si="7"/>
        <v>#VALUE!</v>
      </c>
      <c r="Y509" s="1"/>
      <c r="Z509" s="1"/>
      <c r="AA509" s="10"/>
      <c r="AB509" s="1" t="s">
        <v>1067</v>
      </c>
      <c r="AC509" s="1" t="s">
        <v>34</v>
      </c>
      <c r="AD509" s="10">
        <v>307.75564092000002</v>
      </c>
      <c r="AE509" s="1" t="s">
        <v>25</v>
      </c>
    </row>
    <row r="510" spans="1:31" x14ac:dyDescent="0.2">
      <c r="A510" s="1" t="s">
        <v>1068</v>
      </c>
      <c r="B510" s="2" t="s">
        <v>1408</v>
      </c>
      <c r="C510" s="3" t="s">
        <v>1409</v>
      </c>
      <c r="D510" s="2">
        <v>-20.506</v>
      </c>
      <c r="E510" s="2" t="s">
        <v>1409</v>
      </c>
      <c r="F510" s="4">
        <v>-14.542</v>
      </c>
      <c r="G510" s="4">
        <v>-11.604305147132701</v>
      </c>
      <c r="H510" s="2">
        <v>1.47</v>
      </c>
      <c r="I510" s="4">
        <v>0.97799999999999998</v>
      </c>
      <c r="J510" s="4" t="s">
        <v>1408</v>
      </c>
      <c r="K510" s="4">
        <v>3.5094569999999998</v>
      </c>
      <c r="L510" s="4" t="s">
        <v>1408</v>
      </c>
      <c r="N510" s="5" t="s">
        <v>1408</v>
      </c>
      <c r="O510" s="5">
        <v>-92034</v>
      </c>
      <c r="P510" s="6" t="e">
        <v>#VALUE!</v>
      </c>
      <c r="Q510" s="1"/>
      <c r="R510" s="7" t="e">
        <f ca="1">_xll.SNL.Clients.Office.Excel.Functions.SPG(A510, "SP_TOTAL_DEBT", "LTM")</f>
        <v>#NAME?</v>
      </c>
      <c r="S510" s="8" t="e">
        <f ca="1">_xll.SNL.Clients.Office.Excel.Functions.SPG(A510, "SP_DEBT_TO_EQUITY", "LTM")</f>
        <v>#NAME?</v>
      </c>
      <c r="U510" s="9" t="e">
        <f t="shared" ca="1" si="7"/>
        <v>#VALUE!</v>
      </c>
      <c r="Y510" s="1"/>
      <c r="Z510" s="1"/>
      <c r="AA510" s="10"/>
      <c r="AB510" s="1" t="s">
        <v>1069</v>
      </c>
      <c r="AC510" s="1" t="s">
        <v>174</v>
      </c>
      <c r="AD510" s="10">
        <v>524.07546224999999</v>
      </c>
      <c r="AE510" s="1" t="s">
        <v>25</v>
      </c>
    </row>
    <row r="511" spans="1:31" x14ac:dyDescent="0.2">
      <c r="A511" s="1" t="s">
        <v>1070</v>
      </c>
      <c r="B511" s="2" t="s">
        <v>1408</v>
      </c>
      <c r="C511" s="3">
        <v>-0.418410041841008</v>
      </c>
      <c r="D511" s="2">
        <v>8.4120000000000008</v>
      </c>
      <c r="E511" s="2">
        <v>11.264706</v>
      </c>
      <c r="F511" s="4">
        <v>1.25</v>
      </c>
      <c r="G511" s="4">
        <v>9.7007774226964791</v>
      </c>
      <c r="H511" s="2" t="s">
        <v>1408</v>
      </c>
      <c r="I511" s="4" t="s">
        <v>1408</v>
      </c>
      <c r="J511" s="4">
        <v>41.805441916653599</v>
      </c>
      <c r="K511" s="4">
        <v>1.051318</v>
      </c>
      <c r="L511" s="4" t="s">
        <v>1408</v>
      </c>
      <c r="N511" s="5" t="s">
        <v>1408</v>
      </c>
      <c r="O511" s="5">
        <v>562152</v>
      </c>
      <c r="P511" s="6" t="e">
        <v>#VALUE!</v>
      </c>
      <c r="Q511" s="1"/>
      <c r="R511" s="7" t="e">
        <f ca="1">_xll.SNL.Clients.Office.Excel.Functions.SPG(A511, "SP_TOTAL_DEBT", "LTM")</f>
        <v>#NAME?</v>
      </c>
      <c r="S511" s="8" t="e">
        <f ca="1">_xll.SNL.Clients.Office.Excel.Functions.SPG(A511, "SP_DEBT_TO_EQUITY", "LTM")</f>
        <v>#NAME?</v>
      </c>
      <c r="U511" s="9" t="e">
        <f t="shared" ca="1" si="7"/>
        <v>#VALUE!</v>
      </c>
      <c r="Y511" s="1"/>
      <c r="Z511" s="1"/>
      <c r="AA511" s="10"/>
      <c r="AB511" s="1" t="s">
        <v>1071</v>
      </c>
      <c r="AC511" s="1" t="s">
        <v>34</v>
      </c>
      <c r="AD511" s="10">
        <v>6721.8930903600003</v>
      </c>
      <c r="AE511" s="1" t="s">
        <v>25</v>
      </c>
    </row>
    <row r="512" spans="1:31" x14ac:dyDescent="0.2">
      <c r="A512" s="1" t="s">
        <v>1072</v>
      </c>
      <c r="B512" s="2" t="s">
        <v>1408</v>
      </c>
      <c r="C512" s="3">
        <v>-23.926380368098201</v>
      </c>
      <c r="D512" s="2">
        <v>-5.4480000000000004</v>
      </c>
      <c r="E512" s="2">
        <v>36.477823000000001</v>
      </c>
      <c r="F512" s="4" t="s">
        <v>1408</v>
      </c>
      <c r="G512" s="4" t="s">
        <v>1408</v>
      </c>
      <c r="H512" s="2" t="s">
        <v>1408</v>
      </c>
      <c r="I512" s="4" t="s">
        <v>1408</v>
      </c>
      <c r="J512" s="4" t="s">
        <v>1408</v>
      </c>
      <c r="K512" s="4">
        <v>2.6451370000000001</v>
      </c>
      <c r="L512" s="4" t="s">
        <v>1408</v>
      </c>
      <c r="N512" s="5" t="s">
        <v>1408</v>
      </c>
      <c r="O512" s="5">
        <v>98973</v>
      </c>
      <c r="P512" s="6" t="e">
        <v>#VALUE!</v>
      </c>
      <c r="Q512" s="1"/>
      <c r="R512" s="7" t="e">
        <f ca="1">_xll.SNL.Clients.Office.Excel.Functions.SPG(A512, "SP_TOTAL_DEBT", "LTM")</f>
        <v>#NAME?</v>
      </c>
      <c r="S512" s="8" t="e">
        <f ca="1">_xll.SNL.Clients.Office.Excel.Functions.SPG(A512, "SP_DEBT_TO_EQUITY", "LTM")</f>
        <v>#NAME?</v>
      </c>
      <c r="U512" s="9" t="e">
        <f t="shared" ca="1" si="7"/>
        <v>#VALUE!</v>
      </c>
      <c r="Y512" s="1"/>
      <c r="Z512" s="1"/>
      <c r="AA512" s="10"/>
      <c r="AB512" s="1" t="s">
        <v>1073</v>
      </c>
      <c r="AC512" s="1" t="s">
        <v>174</v>
      </c>
      <c r="AD512" s="10">
        <v>2623.54909008</v>
      </c>
      <c r="AE512" s="1" t="s">
        <v>25</v>
      </c>
    </row>
    <row r="513" spans="1:31" x14ac:dyDescent="0.2">
      <c r="A513" s="1" t="s">
        <v>1074</v>
      </c>
      <c r="B513" s="2" t="s">
        <v>1408</v>
      </c>
      <c r="C513" s="3">
        <v>-11.1111111111111</v>
      </c>
      <c r="D513" s="2">
        <v>3.085</v>
      </c>
      <c r="E513" s="2">
        <v>30.54973</v>
      </c>
      <c r="F513" s="4" t="s">
        <v>1408</v>
      </c>
      <c r="G513" s="4" t="s">
        <v>1408</v>
      </c>
      <c r="H513" s="2" t="s">
        <v>1408</v>
      </c>
      <c r="I513" s="4" t="s">
        <v>1408</v>
      </c>
      <c r="J513" s="4" t="s">
        <v>1408</v>
      </c>
      <c r="K513" s="4">
        <v>12.077889000000001</v>
      </c>
      <c r="L513" s="4" t="s">
        <v>1408</v>
      </c>
      <c r="N513" s="5" t="s">
        <v>1408</v>
      </c>
      <c r="O513" s="5">
        <v>145682</v>
      </c>
      <c r="P513" s="6" t="e">
        <v>#VALUE!</v>
      </c>
      <c r="Q513" s="1"/>
      <c r="R513" s="7" t="e">
        <f ca="1">_xll.SNL.Clients.Office.Excel.Functions.SPG(A513, "SP_TOTAL_DEBT", "LTM")</f>
        <v>#NAME?</v>
      </c>
      <c r="S513" s="8" t="e">
        <f ca="1">_xll.SNL.Clients.Office.Excel.Functions.SPG(A513, "SP_DEBT_TO_EQUITY", "LTM")</f>
        <v>#NAME?</v>
      </c>
      <c r="U513" s="9" t="e">
        <f t="shared" ca="1" si="7"/>
        <v>#VALUE!</v>
      </c>
      <c r="Y513" s="1"/>
      <c r="Z513" s="1"/>
      <c r="AA513" s="10"/>
      <c r="AB513" s="1" t="s">
        <v>1075</v>
      </c>
      <c r="AC513" s="1" t="s">
        <v>174</v>
      </c>
      <c r="AD513" s="10">
        <v>2331.2024416099998</v>
      </c>
      <c r="AE513" s="1" t="s">
        <v>25</v>
      </c>
    </row>
    <row r="514" spans="1:31" x14ac:dyDescent="0.2">
      <c r="A514" s="1" t="s">
        <v>1076</v>
      </c>
      <c r="B514" s="2" t="s">
        <v>1408</v>
      </c>
      <c r="C514" s="3">
        <v>-48.598769651401199</v>
      </c>
      <c r="D514" s="2">
        <v>-13.677</v>
      </c>
      <c r="E514" s="2">
        <v>11.154254999999999</v>
      </c>
      <c r="F514" s="4">
        <v>0.78200000000000003</v>
      </c>
      <c r="G514" s="4">
        <v>8.2014022052227702</v>
      </c>
      <c r="H514" s="2" t="s">
        <v>1408</v>
      </c>
      <c r="I514" s="4" t="s">
        <v>1408</v>
      </c>
      <c r="J514" s="4">
        <v>26.754933664799399</v>
      </c>
      <c r="K514" s="4">
        <v>1.180976</v>
      </c>
      <c r="L514" s="4" t="s">
        <v>1408</v>
      </c>
      <c r="N514" s="5" t="s">
        <v>1408</v>
      </c>
      <c r="O514" s="5">
        <v>541342</v>
      </c>
      <c r="P514" s="6" t="e">
        <v>#VALUE!</v>
      </c>
      <c r="Q514" s="1"/>
      <c r="R514" s="7" t="e">
        <f ca="1">_xll.SNL.Clients.Office.Excel.Functions.SPG(A514, "SP_TOTAL_DEBT", "LTM")</f>
        <v>#NAME?</v>
      </c>
      <c r="S514" s="8" t="e">
        <f ca="1">_xll.SNL.Clients.Office.Excel.Functions.SPG(A514, "SP_DEBT_TO_EQUITY", "LTM")</f>
        <v>#NAME?</v>
      </c>
      <c r="U514" s="9" t="e">
        <f t="shared" ca="1" si="7"/>
        <v>#VALUE!</v>
      </c>
      <c r="Y514" s="1"/>
      <c r="Z514" s="1"/>
      <c r="AA514" s="10"/>
      <c r="AB514" s="1" t="s">
        <v>1077</v>
      </c>
      <c r="AC514" s="1" t="s">
        <v>34</v>
      </c>
      <c r="AD514" s="10">
        <v>6165.5269144499998</v>
      </c>
      <c r="AE514" s="1" t="s">
        <v>25</v>
      </c>
    </row>
    <row r="515" spans="1:31" x14ac:dyDescent="0.2">
      <c r="A515" s="1" t="s">
        <v>1078</v>
      </c>
      <c r="B515" s="2">
        <v>13.718999999999999</v>
      </c>
      <c r="C515" s="3" t="s">
        <v>1408</v>
      </c>
      <c r="D515" s="2">
        <v>29.783999999999999</v>
      </c>
      <c r="E515" s="2" t="s">
        <v>1408</v>
      </c>
      <c r="F515" s="4">
        <v>5.1879999999999997</v>
      </c>
      <c r="G515" s="4" t="s">
        <v>1408</v>
      </c>
      <c r="H515" s="2">
        <v>1.0149999999999999</v>
      </c>
      <c r="I515" s="4">
        <v>0.65</v>
      </c>
      <c r="J515" s="4" t="s">
        <v>1408</v>
      </c>
      <c r="K515" s="4">
        <v>1.485727</v>
      </c>
      <c r="L515" s="4">
        <v>4.2138549999999997</v>
      </c>
      <c r="N515" s="5">
        <v>2664741.5</v>
      </c>
      <c r="O515" s="5">
        <v>2228713</v>
      </c>
      <c r="P515" s="6">
        <v>1.1956413858581163</v>
      </c>
      <c r="Q515" s="1"/>
      <c r="R515" s="7" t="e">
        <f ca="1">_xll.SNL.Clients.Office.Excel.Functions.SPG(A515, "SP_TOTAL_DEBT", "LTM")</f>
        <v>#NAME?</v>
      </c>
      <c r="S515" s="8" t="e">
        <f ca="1">_xll.SNL.Clients.Office.Excel.Functions.SPG(A515, "SP_DEBT_TO_EQUITY", "LTM")</f>
        <v>#NAME?</v>
      </c>
      <c r="U515" s="9" t="e">
        <f t="shared" ref="U515:U578" ca="1" si="8">N515/R515</f>
        <v>#NAME?</v>
      </c>
      <c r="Y515" s="1"/>
      <c r="Z515" s="1"/>
      <c r="AA515" s="10"/>
      <c r="AB515" s="1" t="s">
        <v>1079</v>
      </c>
      <c r="AC515" s="1" t="s">
        <v>108</v>
      </c>
      <c r="AD515" s="10">
        <v>3466.41310428632</v>
      </c>
      <c r="AE515" s="1" t="s">
        <v>42</v>
      </c>
    </row>
    <row r="516" spans="1:31" x14ac:dyDescent="0.2">
      <c r="A516" s="1" t="s">
        <v>1080</v>
      </c>
      <c r="B516" s="2">
        <v>-0.05</v>
      </c>
      <c r="C516" s="3" t="s">
        <v>1408</v>
      </c>
      <c r="D516" s="2" t="s">
        <v>1408</v>
      </c>
      <c r="E516" s="2" t="s">
        <v>1408</v>
      </c>
      <c r="F516" s="4">
        <v>-0.104</v>
      </c>
      <c r="G516" s="4" t="s">
        <v>1408</v>
      </c>
      <c r="H516" s="2">
        <v>1.216</v>
      </c>
      <c r="I516" s="4" t="s">
        <v>1408</v>
      </c>
      <c r="J516" s="4" t="s">
        <v>1408</v>
      </c>
      <c r="K516" s="4" t="s">
        <v>1408</v>
      </c>
      <c r="L516" s="4" t="s">
        <v>1408</v>
      </c>
      <c r="N516" s="5">
        <v>7319.25</v>
      </c>
      <c r="O516" s="5">
        <v>247031</v>
      </c>
      <c r="P516" s="6">
        <v>2.9628872489687531E-2</v>
      </c>
      <c r="Q516" s="1"/>
      <c r="R516" s="7" t="e">
        <f ca="1">_xll.SNL.Clients.Office.Excel.Functions.SPG(A516, "SP_TOTAL_DEBT", "LTM")</f>
        <v>#NAME?</v>
      </c>
      <c r="S516" s="8" t="e">
        <f ca="1">_xll.SNL.Clients.Office.Excel.Functions.SPG(A516, "SP_DEBT_TO_EQUITY", "LTM")</f>
        <v>#NAME?</v>
      </c>
      <c r="U516" s="9" t="e">
        <f t="shared" ca="1" si="8"/>
        <v>#NAME?</v>
      </c>
      <c r="Y516" s="1"/>
      <c r="Z516" s="1"/>
      <c r="AA516" s="10"/>
      <c r="AB516" s="1" t="s">
        <v>1081</v>
      </c>
      <c r="AC516" s="1" t="s">
        <v>37</v>
      </c>
      <c r="AD516" s="10">
        <v>680.13358846540802</v>
      </c>
      <c r="AE516" s="1" t="s">
        <v>42</v>
      </c>
    </row>
    <row r="517" spans="1:31" x14ac:dyDescent="0.2">
      <c r="A517" s="1" t="s">
        <v>1082</v>
      </c>
      <c r="B517" s="2">
        <v>4.7839999999999998</v>
      </c>
      <c r="C517" s="3">
        <v>-34.426229508196698</v>
      </c>
      <c r="D517" s="2">
        <v>-29.966999999999999</v>
      </c>
      <c r="E517" s="2">
        <v>16.425871000000001</v>
      </c>
      <c r="F517" s="4">
        <v>0.36499999999999999</v>
      </c>
      <c r="G517" s="4">
        <v>8.2328815666409092</v>
      </c>
      <c r="H517" s="2">
        <v>45.832999999999998</v>
      </c>
      <c r="I517" s="4">
        <v>7.0999999999999994E-2</v>
      </c>
      <c r="J517" s="4" t="s">
        <v>1408</v>
      </c>
      <c r="K517" s="4">
        <v>1.207136</v>
      </c>
      <c r="L517" s="4">
        <v>10.201905999999999</v>
      </c>
      <c r="N517" s="5">
        <v>-26400250</v>
      </c>
      <c r="O517" s="5">
        <v>3720000</v>
      </c>
      <c r="P517" s="6">
        <v>-7.0968413978494622</v>
      </c>
      <c r="Q517" s="1"/>
      <c r="R517" s="7" t="e">
        <f ca="1">_xll.SNL.Clients.Office.Excel.Functions.SPG(A517, "SP_TOTAL_DEBT", "LTM")</f>
        <v>#NAME?</v>
      </c>
      <c r="S517" s="8" t="e">
        <f ca="1">_xll.SNL.Clients.Office.Excel.Functions.SPG(A517, "SP_DEBT_TO_EQUITY", "LTM")</f>
        <v>#NAME?</v>
      </c>
      <c r="U517" s="9" t="e">
        <f t="shared" ca="1" si="8"/>
        <v>#NAME?</v>
      </c>
      <c r="Y517" s="1"/>
      <c r="Z517" s="1"/>
      <c r="AA517" s="10"/>
      <c r="AB517" s="1" t="s">
        <v>1083</v>
      </c>
      <c r="AC517" s="1" t="s">
        <v>60</v>
      </c>
      <c r="AD517" s="10">
        <v>19129.934668627498</v>
      </c>
      <c r="AE517" s="1" t="s">
        <v>25</v>
      </c>
    </row>
    <row r="518" spans="1:31" x14ac:dyDescent="0.2">
      <c r="A518" s="1" t="s">
        <v>1084</v>
      </c>
      <c r="B518" s="2">
        <v>4.5510000000000002</v>
      </c>
      <c r="C518" s="3">
        <v>-27.2277227722772</v>
      </c>
      <c r="D518" s="2">
        <v>-11.792</v>
      </c>
      <c r="E518" s="2" t="s">
        <v>1409</v>
      </c>
      <c r="F518" s="4">
        <v>1.8129999999999999</v>
      </c>
      <c r="G518" s="4">
        <v>9.2968241648252405</v>
      </c>
      <c r="H518" s="2">
        <v>15.138999999999999</v>
      </c>
      <c r="I518" s="4">
        <v>0.19500000000000001</v>
      </c>
      <c r="J518" s="4">
        <v>-7.9751819792287604</v>
      </c>
      <c r="K518" s="4">
        <v>0.81081999999999999</v>
      </c>
      <c r="L518" s="4">
        <v>24.761565999999998</v>
      </c>
      <c r="N518" s="5">
        <v>-311477.25</v>
      </c>
      <c r="O518" s="5">
        <v>-43832</v>
      </c>
      <c r="P518" s="6">
        <v>7.1061610239094728</v>
      </c>
      <c r="Q518" s="1"/>
      <c r="R518" s="7" t="e">
        <f ca="1">_xll.SNL.Clients.Office.Excel.Functions.SPG(A518, "SP_TOTAL_DEBT", "LTM")</f>
        <v>#NAME?</v>
      </c>
      <c r="S518" s="8" t="e">
        <f ca="1">_xll.SNL.Clients.Office.Excel.Functions.SPG(A518, "SP_DEBT_TO_EQUITY", "LTM")</f>
        <v>#NAME?</v>
      </c>
      <c r="U518" s="9" t="e">
        <f t="shared" ca="1" si="8"/>
        <v>#NAME?</v>
      </c>
      <c r="Y518" s="1"/>
      <c r="Z518" s="1"/>
      <c r="AA518" s="10"/>
      <c r="AB518" s="1" t="s">
        <v>1085</v>
      </c>
      <c r="AC518" s="1" t="s">
        <v>161</v>
      </c>
      <c r="AD518" s="10">
        <v>893.58918165</v>
      </c>
      <c r="AE518" s="1" t="s">
        <v>25</v>
      </c>
    </row>
    <row r="519" spans="1:31" x14ac:dyDescent="0.2">
      <c r="A519" s="1" t="s">
        <v>1086</v>
      </c>
      <c r="B519" s="2" t="s">
        <v>1408</v>
      </c>
      <c r="C519" s="3">
        <v>20.919540229885101</v>
      </c>
      <c r="D519" s="2">
        <v>18.370999999999999</v>
      </c>
      <c r="E519" s="2">
        <v>6.5123569999999997</v>
      </c>
      <c r="F519" s="4">
        <v>2.2930000000000001</v>
      </c>
      <c r="G519" s="4">
        <v>22.312074603583</v>
      </c>
      <c r="H519" s="2" t="s">
        <v>1408</v>
      </c>
      <c r="I519" s="4" t="s">
        <v>1408</v>
      </c>
      <c r="J519" s="4">
        <v>71.268816348459396</v>
      </c>
      <c r="K519" s="4">
        <v>1.3555330000000001</v>
      </c>
      <c r="L519" s="4" t="s">
        <v>1408</v>
      </c>
      <c r="N519" s="5" t="s">
        <v>1408</v>
      </c>
      <c r="O519" s="5">
        <v>150040</v>
      </c>
      <c r="P519" s="6" t="e">
        <v>#VALUE!</v>
      </c>
      <c r="Q519" s="1"/>
      <c r="R519" s="7" t="e">
        <f ca="1">_xll.SNL.Clients.Office.Excel.Functions.SPG(A519, "SP_TOTAL_DEBT", "LTM")</f>
        <v>#NAME?</v>
      </c>
      <c r="S519" s="8" t="e">
        <f ca="1">_xll.SNL.Clients.Office.Excel.Functions.SPG(A519, "SP_DEBT_TO_EQUITY", "LTM")</f>
        <v>#NAME?</v>
      </c>
      <c r="U519" s="9" t="e">
        <f t="shared" ca="1" si="8"/>
        <v>#VALUE!</v>
      </c>
      <c r="Y519" s="1"/>
      <c r="Z519" s="1"/>
      <c r="AA519" s="10"/>
      <c r="AB519" s="1" t="s">
        <v>1087</v>
      </c>
      <c r="AC519" s="1" t="s">
        <v>34</v>
      </c>
      <c r="AD519" s="10">
        <v>988.03319264000004</v>
      </c>
      <c r="AE519" s="1" t="s">
        <v>25</v>
      </c>
    </row>
    <row r="520" spans="1:31" x14ac:dyDescent="0.2">
      <c r="A520" s="1" t="s">
        <v>1088</v>
      </c>
      <c r="B520" s="2" t="s">
        <v>1408</v>
      </c>
      <c r="C520" s="3">
        <v>9.1228070175438507</v>
      </c>
      <c r="D520" s="2">
        <v>4.9020000000000001</v>
      </c>
      <c r="E520" s="2">
        <v>6.4630229999999997</v>
      </c>
      <c r="F520" s="4">
        <v>1.3029999999999999</v>
      </c>
      <c r="G520" s="4">
        <v>12.052035077004399</v>
      </c>
      <c r="H520" s="2" t="s">
        <v>1408</v>
      </c>
      <c r="I520" s="4" t="s">
        <v>1408</v>
      </c>
      <c r="J520" s="4">
        <v>39.319757445445497</v>
      </c>
      <c r="K520" s="4">
        <v>0.73610200000000003</v>
      </c>
      <c r="L520" s="4" t="s">
        <v>1408</v>
      </c>
      <c r="N520" s="5" t="s">
        <v>1408</v>
      </c>
      <c r="O520" s="5">
        <v>111295</v>
      </c>
      <c r="P520" s="6" t="e">
        <v>#VALUE!</v>
      </c>
      <c r="Q520" s="1"/>
      <c r="R520" s="7" t="e">
        <f ca="1">_xll.SNL.Clients.Office.Excel.Functions.SPG(A520, "SP_TOTAL_DEBT", "LTM")</f>
        <v>#NAME?</v>
      </c>
      <c r="S520" s="8" t="e">
        <f ca="1">_xll.SNL.Clients.Office.Excel.Functions.SPG(A520, "SP_DEBT_TO_EQUITY", "LTM")</f>
        <v>#NAME?</v>
      </c>
      <c r="U520" s="9" t="e">
        <f t="shared" ca="1" si="8"/>
        <v>#VALUE!</v>
      </c>
      <c r="Y520" s="1"/>
      <c r="Z520" s="1"/>
      <c r="AA520" s="10"/>
      <c r="AB520" s="1" t="s">
        <v>1089</v>
      </c>
      <c r="AC520" s="1" t="s">
        <v>34</v>
      </c>
      <c r="AD520" s="10">
        <v>746.45754440999997</v>
      </c>
      <c r="AE520" s="1" t="s">
        <v>25</v>
      </c>
    </row>
    <row r="521" spans="1:31" x14ac:dyDescent="0.2">
      <c r="A521" s="1" t="s">
        <v>1090</v>
      </c>
      <c r="B521" s="2">
        <v>9.8829999999999991</v>
      </c>
      <c r="C521" s="3">
        <v>5.4057264957265101</v>
      </c>
      <c r="D521" s="2">
        <v>0.437</v>
      </c>
      <c r="E521" s="2">
        <v>17.920223</v>
      </c>
      <c r="F521" s="4">
        <v>2.992</v>
      </c>
      <c r="G521" s="4">
        <v>27.809186048277201</v>
      </c>
      <c r="H521" s="2">
        <v>3.2669999999999999</v>
      </c>
      <c r="I521" s="4">
        <v>0.193</v>
      </c>
      <c r="J521" s="4" t="s">
        <v>1408</v>
      </c>
      <c r="K521" s="4">
        <v>3.5291600000000001</v>
      </c>
      <c r="L521" s="4">
        <v>13.017474999999999</v>
      </c>
      <c r="N521" s="5">
        <v>1889047.25</v>
      </c>
      <c r="O521" s="5">
        <v>571387</v>
      </c>
      <c r="P521" s="6">
        <v>3.3060732043256147</v>
      </c>
      <c r="Q521" s="1"/>
      <c r="R521" s="7" t="e">
        <f ca="1">_xll.SNL.Clients.Office.Excel.Functions.SPG(A521, "SP_TOTAL_DEBT", "LTM")</f>
        <v>#NAME?</v>
      </c>
      <c r="S521" s="8" t="e">
        <f ca="1">_xll.SNL.Clients.Office.Excel.Functions.SPG(A521, "SP_DEBT_TO_EQUITY", "LTM")</f>
        <v>#NAME?</v>
      </c>
      <c r="U521" s="9" t="e">
        <f t="shared" ca="1" si="8"/>
        <v>#NAME?</v>
      </c>
      <c r="Y521" s="1"/>
      <c r="Z521" s="1"/>
      <c r="AA521" s="10"/>
      <c r="AB521" s="1" t="s">
        <v>1091</v>
      </c>
      <c r="AC521" s="1" t="s">
        <v>60</v>
      </c>
      <c r="AD521" s="10">
        <v>8203.5544152000002</v>
      </c>
      <c r="AE521" s="1" t="s">
        <v>25</v>
      </c>
    </row>
    <row r="522" spans="1:31" x14ac:dyDescent="0.2">
      <c r="A522" s="1" t="s">
        <v>1092</v>
      </c>
      <c r="B522" s="2" t="s">
        <v>1408</v>
      </c>
      <c r="C522" s="3">
        <v>-42.857142857142797</v>
      </c>
      <c r="D522" s="2">
        <v>19.097000000000001</v>
      </c>
      <c r="E522" s="2">
        <v>31.25</v>
      </c>
      <c r="F522" s="4">
        <v>0.20599999999999999</v>
      </c>
      <c r="G522" s="4">
        <v>1.93168979987088</v>
      </c>
      <c r="H522" s="2" t="s">
        <v>1408</v>
      </c>
      <c r="I522" s="4" t="s">
        <v>1408</v>
      </c>
      <c r="J522" s="4" t="s">
        <v>1408</v>
      </c>
      <c r="K522" s="4">
        <v>0.77683199999999997</v>
      </c>
      <c r="L522" s="4" t="s">
        <v>1408</v>
      </c>
      <c r="N522" s="5" t="s">
        <v>1408</v>
      </c>
      <c r="O522" s="5">
        <v>7660</v>
      </c>
      <c r="P522" s="6" t="e">
        <v>#VALUE!</v>
      </c>
      <c r="Q522" s="1"/>
      <c r="R522" s="7" t="e">
        <f ca="1">_xll.SNL.Clients.Office.Excel.Functions.SPG(A522, "SP_TOTAL_DEBT", "LTM")</f>
        <v>#NAME?</v>
      </c>
      <c r="S522" s="8" t="e">
        <f ca="1">_xll.SNL.Clients.Office.Excel.Functions.SPG(A522, "SP_DEBT_TO_EQUITY", "LTM")</f>
        <v>#NAME?</v>
      </c>
      <c r="U522" s="9" t="e">
        <f t="shared" ca="1" si="8"/>
        <v>#VALUE!</v>
      </c>
      <c r="Y522" s="1"/>
      <c r="Z522" s="1"/>
      <c r="AA522" s="10"/>
      <c r="AB522" s="1" t="s">
        <v>1093</v>
      </c>
      <c r="AC522" s="1" t="s">
        <v>34</v>
      </c>
      <c r="AD522" s="10">
        <v>325.79928480000001</v>
      </c>
      <c r="AE522" s="1" t="s">
        <v>25</v>
      </c>
    </row>
    <row r="523" spans="1:31" x14ac:dyDescent="0.2">
      <c r="A523" s="1" t="s">
        <v>1094</v>
      </c>
      <c r="B523" s="2">
        <v>20.832999999999998</v>
      </c>
      <c r="C523" s="3">
        <v>197.1704784689</v>
      </c>
      <c r="D523" s="2">
        <v>22.638999999999999</v>
      </c>
      <c r="E523" s="2">
        <v>12.608556</v>
      </c>
      <c r="F523" s="4">
        <v>0.39400000000000002</v>
      </c>
      <c r="G523" s="4">
        <v>44.289248721404697</v>
      </c>
      <c r="H523" s="2">
        <v>1.508</v>
      </c>
      <c r="I523" s="4">
        <v>4.9000000000000002E-2</v>
      </c>
      <c r="J523" s="4" t="s">
        <v>1408</v>
      </c>
      <c r="K523" s="4">
        <v>1.7606900000000001</v>
      </c>
      <c r="L523" s="4">
        <v>8.6992499999999993</v>
      </c>
      <c r="N523" s="5">
        <v>1377212.5</v>
      </c>
      <c r="O523" s="5">
        <v>1518100</v>
      </c>
      <c r="P523" s="6">
        <v>0.9071948488241881</v>
      </c>
      <c r="Q523" s="1"/>
      <c r="R523" s="7" t="e">
        <f ca="1">_xll.SNL.Clients.Office.Excel.Functions.SPG(A523, "SP_TOTAL_DEBT", "LTM")</f>
        <v>#NAME?</v>
      </c>
      <c r="S523" s="8" t="e">
        <f ca="1">_xll.SNL.Clients.Office.Excel.Functions.SPG(A523, "SP_DEBT_TO_EQUITY", "LTM")</f>
        <v>#NAME?</v>
      </c>
      <c r="U523" s="9" t="e">
        <f t="shared" ca="1" si="8"/>
        <v>#NAME?</v>
      </c>
      <c r="Y523" s="1"/>
      <c r="Z523" s="1"/>
      <c r="AA523" s="10"/>
      <c r="AB523" s="1" t="s">
        <v>1095</v>
      </c>
      <c r="AC523" s="1" t="s">
        <v>60</v>
      </c>
      <c r="AD523" s="10">
        <v>18858.398138299999</v>
      </c>
      <c r="AE523" s="1" t="s">
        <v>25</v>
      </c>
    </row>
    <row r="524" spans="1:31" x14ac:dyDescent="0.2">
      <c r="A524" s="1" t="s">
        <v>1096</v>
      </c>
      <c r="B524" s="2">
        <v>0.58099999999999996</v>
      </c>
      <c r="C524" s="3" t="s">
        <v>1409</v>
      </c>
      <c r="D524" s="2">
        <v>-1.5760000000000001</v>
      </c>
      <c r="E524" s="2" t="s">
        <v>1409</v>
      </c>
      <c r="F524" s="4">
        <v>0.31</v>
      </c>
      <c r="G524" s="4">
        <v>-3.3613055411059099E-2</v>
      </c>
      <c r="H524" s="2">
        <v>1.464</v>
      </c>
      <c r="I524" s="4">
        <v>0.2</v>
      </c>
      <c r="J524" s="4" t="s">
        <v>1408</v>
      </c>
      <c r="K524" s="4">
        <v>0.65534999999999999</v>
      </c>
      <c r="L524" s="4">
        <v>17.034945</v>
      </c>
      <c r="N524" s="5">
        <v>113111.125</v>
      </c>
      <c r="O524" s="5">
        <v>-31039</v>
      </c>
      <c r="P524" s="6">
        <v>-3.6441613776217019</v>
      </c>
      <c r="Q524" s="1"/>
      <c r="R524" s="7" t="e">
        <f ca="1">_xll.SNL.Clients.Office.Excel.Functions.SPG(A524, "SP_TOTAL_DEBT", "LTM")</f>
        <v>#NAME?</v>
      </c>
      <c r="S524" s="8" t="e">
        <f ca="1">_xll.SNL.Clients.Office.Excel.Functions.SPG(A524, "SP_DEBT_TO_EQUITY", "LTM")</f>
        <v>#NAME?</v>
      </c>
      <c r="U524" s="9" t="e">
        <f t="shared" ca="1" si="8"/>
        <v>#NAME?</v>
      </c>
      <c r="Y524" s="1"/>
      <c r="Z524" s="1"/>
      <c r="AA524" s="10"/>
      <c r="AB524" s="1" t="s">
        <v>1097</v>
      </c>
      <c r="AC524" s="1" t="s">
        <v>95</v>
      </c>
      <c r="AD524" s="10">
        <v>686.04735677999997</v>
      </c>
      <c r="AE524" s="1" t="s">
        <v>25</v>
      </c>
    </row>
    <row r="525" spans="1:31" x14ac:dyDescent="0.2">
      <c r="A525" s="1" t="s">
        <v>1098</v>
      </c>
      <c r="B525" s="2">
        <v>20.120999999999999</v>
      </c>
      <c r="C525" s="3" t="s">
        <v>1408</v>
      </c>
      <c r="D525" s="2">
        <v>-2.9910000000000001</v>
      </c>
      <c r="E525" s="2">
        <v>9.5964810000000007</v>
      </c>
      <c r="F525" s="4">
        <v>17.161000000000001</v>
      </c>
      <c r="G525" s="4" t="s">
        <v>1408</v>
      </c>
      <c r="H525" s="2">
        <v>3.5870000000000002</v>
      </c>
      <c r="I525" s="4">
        <v>1.639</v>
      </c>
      <c r="J525" s="4" t="s">
        <v>1408</v>
      </c>
      <c r="K525" s="4">
        <v>2.3650370000000001</v>
      </c>
      <c r="L525" s="4">
        <v>3.915648</v>
      </c>
      <c r="N525" s="5">
        <v>1915865.375</v>
      </c>
      <c r="O525" s="5">
        <v>156348</v>
      </c>
      <c r="P525" s="6">
        <v>12.253852783534168</v>
      </c>
      <c r="Q525" s="1"/>
      <c r="R525" s="7" t="e">
        <f ca="1">_xll.SNL.Clients.Office.Excel.Functions.SPG(A525, "SP_TOTAL_DEBT", "LTM")</f>
        <v>#NAME?</v>
      </c>
      <c r="S525" s="8" t="e">
        <f ca="1">_xll.SNL.Clients.Office.Excel.Functions.SPG(A525, "SP_DEBT_TO_EQUITY", "LTM")</f>
        <v>#NAME?</v>
      </c>
      <c r="U525" s="9" t="e">
        <f t="shared" ca="1" si="8"/>
        <v>#NAME?</v>
      </c>
      <c r="Y525" s="1"/>
      <c r="Z525" s="1"/>
      <c r="AA525" s="10"/>
      <c r="AB525" s="1" t="s">
        <v>1099</v>
      </c>
      <c r="AC525" s="1" t="s">
        <v>161</v>
      </c>
      <c r="AD525" s="10">
        <v>1370.2901076799999</v>
      </c>
      <c r="AE525" s="1" t="s">
        <v>25</v>
      </c>
    </row>
    <row r="526" spans="1:31" x14ac:dyDescent="0.2">
      <c r="A526" s="1" t="s">
        <v>1100</v>
      </c>
      <c r="B526" s="2">
        <v>10.634</v>
      </c>
      <c r="C526" s="3" t="s">
        <v>1408</v>
      </c>
      <c r="D526" s="2">
        <v>74.972999999999999</v>
      </c>
      <c r="E526" s="2">
        <v>17.664404000000001</v>
      </c>
      <c r="F526" s="4">
        <v>12.721</v>
      </c>
      <c r="G526" s="4" t="s">
        <v>1408</v>
      </c>
      <c r="H526" s="2">
        <v>7.5049999999999999</v>
      </c>
      <c r="I526" s="4">
        <v>1.073</v>
      </c>
      <c r="J526" s="4" t="s">
        <v>1408</v>
      </c>
      <c r="K526" s="4">
        <v>4.2757050000000003</v>
      </c>
      <c r="L526" s="4">
        <v>10.476050000000001</v>
      </c>
      <c r="N526" s="5">
        <v>-28602.379000000001</v>
      </c>
      <c r="O526" s="5">
        <v>24336.421999999999</v>
      </c>
      <c r="P526" s="6">
        <v>-1.1752910514125701</v>
      </c>
      <c r="Q526" s="1"/>
      <c r="R526" s="7" t="e">
        <f ca="1">_xll.SNL.Clients.Office.Excel.Functions.SPG(A526, "SP_TOTAL_DEBT", "LTM")</f>
        <v>#NAME?</v>
      </c>
      <c r="S526" s="8" t="e">
        <f ca="1">_xll.SNL.Clients.Office.Excel.Functions.SPG(A526, "SP_DEBT_TO_EQUITY", "LTM")</f>
        <v>#NAME?</v>
      </c>
      <c r="U526" s="9" t="e">
        <f t="shared" ca="1" si="8"/>
        <v>#NAME?</v>
      </c>
      <c r="Y526" s="1"/>
      <c r="Z526" s="1"/>
      <c r="AA526" s="10"/>
      <c r="AB526" s="1" t="s">
        <v>1101</v>
      </c>
      <c r="AC526" s="1" t="s">
        <v>82</v>
      </c>
      <c r="AD526" s="10">
        <v>402.82062979766602</v>
      </c>
      <c r="AE526" s="1" t="s">
        <v>25</v>
      </c>
    </row>
    <row r="527" spans="1:31" x14ac:dyDescent="0.2">
      <c r="A527" s="1" t="s">
        <v>1102</v>
      </c>
      <c r="B527" s="2" t="s">
        <v>1408</v>
      </c>
      <c r="C527" s="3">
        <v>-21.291448516579401</v>
      </c>
      <c r="D527" s="2">
        <v>-5.1459999999999999</v>
      </c>
      <c r="E527" s="2">
        <v>13.847007</v>
      </c>
      <c r="F527" s="4">
        <v>1.1000000000000001</v>
      </c>
      <c r="G527" s="4">
        <v>6.03263801668587</v>
      </c>
      <c r="H527" s="2" t="s">
        <v>1408</v>
      </c>
      <c r="I527" s="4" t="s">
        <v>1408</v>
      </c>
      <c r="J527" s="4">
        <v>51.321350493557702</v>
      </c>
      <c r="K527" s="4">
        <v>0.82676899999999998</v>
      </c>
      <c r="L527" s="4" t="s">
        <v>1408</v>
      </c>
      <c r="N527" s="5" t="s">
        <v>1408</v>
      </c>
      <c r="O527" s="5">
        <v>419316</v>
      </c>
      <c r="P527" s="6" t="e">
        <v>#VALUE!</v>
      </c>
      <c r="Q527" s="1"/>
      <c r="R527" s="7" t="e">
        <f ca="1">_xll.SNL.Clients.Office.Excel.Functions.SPG(A527, "SP_TOTAL_DEBT", "LTM")</f>
        <v>#NAME?</v>
      </c>
      <c r="S527" s="8" t="e">
        <f ca="1">_xll.SNL.Clients.Office.Excel.Functions.SPG(A527, "SP_DEBT_TO_EQUITY", "LTM")</f>
        <v>#NAME?</v>
      </c>
      <c r="U527" s="9" t="e">
        <f t="shared" ca="1" si="8"/>
        <v>#VALUE!</v>
      </c>
      <c r="Y527" s="1"/>
      <c r="Z527" s="1"/>
      <c r="AA527" s="10"/>
      <c r="AB527" s="1" t="s">
        <v>1103</v>
      </c>
      <c r="AC527" s="1" t="s">
        <v>34</v>
      </c>
      <c r="AD527" s="10">
        <v>5989.7730199999996</v>
      </c>
      <c r="AE527" s="1" t="s">
        <v>25</v>
      </c>
    </row>
    <row r="528" spans="1:31" x14ac:dyDescent="0.2">
      <c r="A528" s="1" t="s">
        <v>1104</v>
      </c>
      <c r="B528" s="2" t="s">
        <v>1408</v>
      </c>
      <c r="C528" s="3">
        <v>-27.2340425531915</v>
      </c>
      <c r="D528" s="2">
        <v>-9.1709999999999994</v>
      </c>
      <c r="E528" s="2">
        <v>9.0233919999999994</v>
      </c>
      <c r="F528" s="4">
        <v>0.91700000000000004</v>
      </c>
      <c r="G528" s="4">
        <v>7.8075850289049296</v>
      </c>
      <c r="H528" s="2" t="s">
        <v>1408</v>
      </c>
      <c r="I528" s="4" t="s">
        <v>1408</v>
      </c>
      <c r="J528" s="4">
        <v>38.466112888182202</v>
      </c>
      <c r="K528" s="4">
        <v>0.68395399999999995</v>
      </c>
      <c r="L528" s="4" t="s">
        <v>1408</v>
      </c>
      <c r="N528" s="5" t="s">
        <v>1408</v>
      </c>
      <c r="O528" s="5">
        <v>128398</v>
      </c>
      <c r="P528" s="6" t="e">
        <v>#VALUE!</v>
      </c>
      <c r="Q528" s="1"/>
      <c r="R528" s="7" t="e">
        <f ca="1">_xll.SNL.Clients.Office.Excel.Functions.SPG(A528, "SP_TOTAL_DEBT", "LTM")</f>
        <v>#NAME?</v>
      </c>
      <c r="S528" s="8" t="e">
        <f ca="1">_xll.SNL.Clients.Office.Excel.Functions.SPG(A528, "SP_DEBT_TO_EQUITY", "LTM")</f>
        <v>#NAME?</v>
      </c>
      <c r="U528" s="9" t="e">
        <f t="shared" ca="1" si="8"/>
        <v>#VALUE!</v>
      </c>
      <c r="Y528" s="1"/>
      <c r="Z528" s="1"/>
      <c r="AA528" s="10"/>
      <c r="AB528" s="1" t="s">
        <v>1105</v>
      </c>
      <c r="AC528" s="1" t="s">
        <v>34</v>
      </c>
      <c r="AD528" s="10">
        <v>1240.2351374499999</v>
      </c>
      <c r="AE528" s="1" t="s">
        <v>25</v>
      </c>
    </row>
    <row r="529" spans="1:31" x14ac:dyDescent="0.2">
      <c r="A529" s="1" t="s">
        <v>1106</v>
      </c>
      <c r="B529" s="2" t="s">
        <v>1408</v>
      </c>
      <c r="C529" s="3" t="s">
        <v>1409</v>
      </c>
      <c r="D529" s="2" t="s">
        <v>1408</v>
      </c>
      <c r="E529" s="2" t="s">
        <v>1408</v>
      </c>
      <c r="F529" s="4" t="s">
        <v>1408</v>
      </c>
      <c r="G529" s="4">
        <v>8.4122611725343699</v>
      </c>
      <c r="H529" s="2" t="s">
        <v>1408</v>
      </c>
      <c r="I529" s="4" t="s">
        <v>1408</v>
      </c>
      <c r="J529" s="4" t="s">
        <v>1408</v>
      </c>
      <c r="K529" s="4" t="s">
        <v>1408</v>
      </c>
      <c r="L529" s="4" t="s">
        <v>1408</v>
      </c>
      <c r="N529" s="5" t="s">
        <v>1408</v>
      </c>
      <c r="O529" s="5">
        <v>2508000</v>
      </c>
      <c r="P529" s="6" t="e">
        <v>#VALUE!</v>
      </c>
      <c r="Q529" s="1"/>
      <c r="R529" s="7" t="e">
        <f ca="1">_xll.SNL.Clients.Office.Excel.Functions.SPG(A529, "SP_TOTAL_DEBT", "LTM")</f>
        <v>#NAME?</v>
      </c>
      <c r="S529" s="8" t="e">
        <f ca="1">_xll.SNL.Clients.Office.Excel.Functions.SPG(A529, "SP_DEBT_TO_EQUITY", "LTM")</f>
        <v>#NAME?</v>
      </c>
      <c r="U529" s="9" t="e">
        <f t="shared" ca="1" si="8"/>
        <v>#VALUE!</v>
      </c>
      <c r="Y529" s="1"/>
      <c r="Z529" s="1"/>
      <c r="AA529" s="10"/>
      <c r="AB529" s="1" t="s">
        <v>1107</v>
      </c>
      <c r="AC529" s="1" t="s">
        <v>60</v>
      </c>
      <c r="AD529" s="10">
        <v>37911.209000000003</v>
      </c>
      <c r="AE529" s="1" t="s">
        <v>25</v>
      </c>
    </row>
    <row r="530" spans="1:31" x14ac:dyDescent="0.2">
      <c r="A530" s="1" t="s">
        <v>1108</v>
      </c>
      <c r="B530" s="2">
        <v>-5.5270000000000001</v>
      </c>
      <c r="C530" s="3" t="s">
        <v>1409</v>
      </c>
      <c r="D530" s="2">
        <v>13.425000000000001</v>
      </c>
      <c r="E530" s="2" t="s">
        <v>1409</v>
      </c>
      <c r="F530" s="4">
        <v>-4.984</v>
      </c>
      <c r="G530" s="4">
        <v>-24.0563182242343</v>
      </c>
      <c r="H530" s="2">
        <v>2.2530000000000001</v>
      </c>
      <c r="I530" s="4">
        <v>0.48499999999999999</v>
      </c>
      <c r="J530" s="4" t="s">
        <v>1408</v>
      </c>
      <c r="K530" s="4">
        <v>5.5783040000000002</v>
      </c>
      <c r="L530" s="4" t="s">
        <v>1409</v>
      </c>
      <c r="N530" s="5">
        <v>98936.625</v>
      </c>
      <c r="O530" s="5">
        <v>-79716</v>
      </c>
      <c r="P530" s="6">
        <v>-1.2411137663706158</v>
      </c>
      <c r="Q530" s="1"/>
      <c r="R530" s="7" t="e">
        <f ca="1">_xll.SNL.Clients.Office.Excel.Functions.SPG(A530, "SP_TOTAL_DEBT", "LTM")</f>
        <v>#NAME?</v>
      </c>
      <c r="S530" s="8" t="e">
        <f ca="1">_xll.SNL.Clients.Office.Excel.Functions.SPG(A530, "SP_DEBT_TO_EQUITY", "LTM")</f>
        <v>#NAME?</v>
      </c>
      <c r="U530" s="9" t="e">
        <f t="shared" ca="1" si="8"/>
        <v>#NAME?</v>
      </c>
      <c r="Y530" s="1"/>
      <c r="Z530" s="1"/>
      <c r="AA530" s="10"/>
      <c r="AB530" s="1" t="s">
        <v>1109</v>
      </c>
      <c r="AC530" s="1" t="s">
        <v>77</v>
      </c>
      <c r="AD530" s="10">
        <v>2494.9194627500001</v>
      </c>
      <c r="AE530" s="1" t="s">
        <v>25</v>
      </c>
    </row>
    <row r="531" spans="1:31" x14ac:dyDescent="0.2">
      <c r="A531" s="1" t="s">
        <v>1110</v>
      </c>
      <c r="B531" s="2" t="s">
        <v>1408</v>
      </c>
      <c r="C531" s="3">
        <v>14.650766609880799</v>
      </c>
      <c r="D531" s="2">
        <v>11.064</v>
      </c>
      <c r="E531" s="2">
        <v>8.3893020000000007</v>
      </c>
      <c r="F531" s="4">
        <v>1.377</v>
      </c>
      <c r="G531" s="4">
        <v>13.75531913605</v>
      </c>
      <c r="H531" s="2" t="s">
        <v>1408</v>
      </c>
      <c r="I531" s="4" t="s">
        <v>1408</v>
      </c>
      <c r="J531" s="4">
        <v>35.734681737061301</v>
      </c>
      <c r="K531" s="4">
        <v>1.0666310000000001</v>
      </c>
      <c r="L531" s="4" t="s">
        <v>1408</v>
      </c>
      <c r="N531" s="5" t="s">
        <v>1408</v>
      </c>
      <c r="O531" s="5">
        <v>113558</v>
      </c>
      <c r="P531" s="6" t="e">
        <v>#VALUE!</v>
      </c>
      <c r="Q531" s="1"/>
      <c r="R531" s="7" t="e">
        <f ca="1">_xll.SNL.Clients.Office.Excel.Functions.SPG(A531, "SP_TOTAL_DEBT", "LTM")</f>
        <v>#NAME?</v>
      </c>
      <c r="S531" s="8" t="e">
        <f ca="1">_xll.SNL.Clients.Office.Excel.Functions.SPG(A531, "SP_DEBT_TO_EQUITY", "LTM")</f>
        <v>#NAME?</v>
      </c>
      <c r="U531" s="9" t="e">
        <f t="shared" ca="1" si="8"/>
        <v>#VALUE!</v>
      </c>
      <c r="Y531" s="1"/>
      <c r="Z531" s="1"/>
      <c r="AA531" s="10"/>
      <c r="AB531" s="1" t="s">
        <v>1111</v>
      </c>
      <c r="AC531" s="1" t="s">
        <v>34</v>
      </c>
      <c r="AD531" s="10">
        <v>978.32392614000003</v>
      </c>
      <c r="AE531" s="1" t="s">
        <v>25</v>
      </c>
    </row>
    <row r="532" spans="1:31" x14ac:dyDescent="0.2">
      <c r="A532" s="1" t="s">
        <v>1112</v>
      </c>
      <c r="B532" s="2">
        <v>15.269</v>
      </c>
      <c r="C532" s="3" t="s">
        <v>1408</v>
      </c>
      <c r="D532" s="2">
        <v>29.710999999999999</v>
      </c>
      <c r="E532" s="2">
        <v>20.323526000000001</v>
      </c>
      <c r="F532" s="4">
        <v>3.43</v>
      </c>
      <c r="G532" s="4" t="s">
        <v>1408</v>
      </c>
      <c r="H532" s="2">
        <v>1.927</v>
      </c>
      <c r="I532" s="4">
        <v>0.64200000000000002</v>
      </c>
      <c r="J532" s="4" t="s">
        <v>1408</v>
      </c>
      <c r="K532" s="4">
        <v>3.586659</v>
      </c>
      <c r="L532" s="4">
        <v>13.132306</v>
      </c>
      <c r="N532" s="5">
        <v>4139821.8990000002</v>
      </c>
      <c r="O532" s="5">
        <v>3791454.4279999998</v>
      </c>
      <c r="P532" s="6">
        <v>1.0918822783223494</v>
      </c>
      <c r="Q532" s="1"/>
      <c r="R532" s="7" t="e">
        <f ca="1">_xll.SNL.Clients.Office.Excel.Functions.SPG(A532, "SP_TOTAL_DEBT", "LTM")</f>
        <v>#NAME?</v>
      </c>
      <c r="S532" s="8" t="e">
        <f ca="1">_xll.SNL.Clients.Office.Excel.Functions.SPG(A532, "SP_DEBT_TO_EQUITY", "LTM")</f>
        <v>#NAME?</v>
      </c>
      <c r="U532" s="9" t="e">
        <f t="shared" ca="1" si="8"/>
        <v>#NAME?</v>
      </c>
      <c r="Y532" s="1"/>
      <c r="Z532" s="1"/>
      <c r="AA532" s="10"/>
      <c r="AB532" s="1" t="s">
        <v>1113</v>
      </c>
      <c r="AC532" s="1" t="s">
        <v>95</v>
      </c>
      <c r="AD532" s="10">
        <v>4380.2670657124199</v>
      </c>
      <c r="AE532" s="1" t="s">
        <v>42</v>
      </c>
    </row>
    <row r="533" spans="1:31" x14ac:dyDescent="0.2">
      <c r="A533" s="1" t="s">
        <v>1114</v>
      </c>
      <c r="B533" s="2">
        <v>11.525</v>
      </c>
      <c r="C533" s="3">
        <v>37.658227848101198</v>
      </c>
      <c r="D533" s="2">
        <v>-10.467000000000001</v>
      </c>
      <c r="E533" s="2">
        <v>7.3971539999999996</v>
      </c>
      <c r="F533" s="4">
        <v>7.8109999999999999</v>
      </c>
      <c r="G533" s="4">
        <v>18.683539091092701</v>
      </c>
      <c r="H533" s="2">
        <v>3.3109999999999999</v>
      </c>
      <c r="I533" s="4">
        <v>0.17100000000000001</v>
      </c>
      <c r="J533" s="4" t="s">
        <v>1408</v>
      </c>
      <c r="K533" s="4">
        <v>1.071067</v>
      </c>
      <c r="L533" s="4">
        <v>6.1984649999999997</v>
      </c>
      <c r="N533" s="5">
        <v>366606.5</v>
      </c>
      <c r="O533" s="5">
        <v>622756</v>
      </c>
      <c r="P533" s="6">
        <v>0.58868401107335777</v>
      </c>
      <c r="Q533" s="1"/>
      <c r="R533" s="7" t="e">
        <f ca="1">_xll.SNL.Clients.Office.Excel.Functions.SPG(A533, "SP_TOTAL_DEBT", "LTM")</f>
        <v>#NAME?</v>
      </c>
      <c r="S533" s="8" t="e">
        <f ca="1">_xll.SNL.Clients.Office.Excel.Functions.SPG(A533, "SP_DEBT_TO_EQUITY", "LTM")</f>
        <v>#NAME?</v>
      </c>
      <c r="U533" s="9" t="e">
        <f t="shared" ca="1" si="8"/>
        <v>#NAME?</v>
      </c>
      <c r="Y533" s="1"/>
      <c r="Z533" s="1"/>
      <c r="AA533" s="10"/>
      <c r="AB533" s="1" t="s">
        <v>1115</v>
      </c>
      <c r="AC533" s="1" t="s">
        <v>509</v>
      </c>
      <c r="AD533" s="10">
        <v>4438.58659524</v>
      </c>
      <c r="AE533" s="1" t="s">
        <v>25</v>
      </c>
    </row>
    <row r="534" spans="1:31" x14ac:dyDescent="0.2">
      <c r="A534" s="1" t="s">
        <v>1116</v>
      </c>
      <c r="B534" s="2" t="s">
        <v>1408</v>
      </c>
      <c r="C534" s="3">
        <v>14.1833810888252</v>
      </c>
      <c r="D534" s="2">
        <v>6.3079999999999998</v>
      </c>
      <c r="E534" s="2">
        <v>13.953633999999999</v>
      </c>
      <c r="F534" s="4" t="s">
        <v>1408</v>
      </c>
      <c r="G534" s="4">
        <v>17.594759007955101</v>
      </c>
      <c r="H534" s="2" t="s">
        <v>1408</v>
      </c>
      <c r="I534" s="4" t="s">
        <v>1408</v>
      </c>
      <c r="J534" s="4" t="s">
        <v>1408</v>
      </c>
      <c r="K534" s="4">
        <v>2.293701</v>
      </c>
      <c r="L534" s="4" t="s">
        <v>1408</v>
      </c>
      <c r="N534" s="5" t="s">
        <v>1408</v>
      </c>
      <c r="O534" s="5">
        <v>1728000</v>
      </c>
      <c r="P534" s="6" t="e">
        <v>#VALUE!</v>
      </c>
      <c r="Q534" s="1"/>
      <c r="R534" s="7" t="e">
        <f ca="1">_xll.SNL.Clients.Office.Excel.Functions.SPG(A534, "SP_TOTAL_DEBT", "LTM")</f>
        <v>#NAME?</v>
      </c>
      <c r="S534" s="8" t="e">
        <f ca="1">_xll.SNL.Clients.Office.Excel.Functions.SPG(A534, "SP_DEBT_TO_EQUITY", "LTM")</f>
        <v>#NAME?</v>
      </c>
      <c r="U534" s="9" t="e">
        <f t="shared" ca="1" si="8"/>
        <v>#VALUE!</v>
      </c>
      <c r="Y534" s="1"/>
      <c r="Z534" s="1"/>
      <c r="AA534" s="10"/>
      <c r="AB534" s="1" t="s">
        <v>1117</v>
      </c>
      <c r="AC534" s="1" t="s">
        <v>174</v>
      </c>
      <c r="AD534" s="10">
        <v>22994.565999999999</v>
      </c>
      <c r="AE534" s="1" t="s">
        <v>25</v>
      </c>
    </row>
    <row r="535" spans="1:31" x14ac:dyDescent="0.2">
      <c r="A535" s="1" t="s">
        <v>1118</v>
      </c>
      <c r="B535" s="2" t="s">
        <v>1408</v>
      </c>
      <c r="C535" s="3">
        <v>-32.7327327327327</v>
      </c>
      <c r="D535" s="2">
        <v>-15.993</v>
      </c>
      <c r="E535" s="2">
        <v>7.7524579999999998</v>
      </c>
      <c r="F535" s="4">
        <v>1.069</v>
      </c>
      <c r="G535" s="4">
        <v>8.4838374555480094</v>
      </c>
      <c r="H535" s="2" t="s">
        <v>1408</v>
      </c>
      <c r="I535" s="4" t="s">
        <v>1408</v>
      </c>
      <c r="J535" s="4">
        <v>42.755811612383702</v>
      </c>
      <c r="K535" s="4">
        <v>0.63159799999999999</v>
      </c>
      <c r="L535" s="4" t="s">
        <v>1408</v>
      </c>
      <c r="N535" s="5" t="s">
        <v>1408</v>
      </c>
      <c r="O535" s="5">
        <v>42465</v>
      </c>
      <c r="P535" s="6" t="e">
        <v>#VALUE!</v>
      </c>
      <c r="Q535" s="1"/>
      <c r="R535" s="7" t="e">
        <f ca="1">_xll.SNL.Clients.Office.Excel.Functions.SPG(A535, "SP_TOTAL_DEBT", "LTM")</f>
        <v>#NAME?</v>
      </c>
      <c r="S535" s="8" t="e">
        <f ca="1">_xll.SNL.Clients.Office.Excel.Functions.SPG(A535, "SP_DEBT_TO_EQUITY", "LTM")</f>
        <v>#NAME?</v>
      </c>
      <c r="U535" s="9" t="e">
        <f t="shared" ca="1" si="8"/>
        <v>#VALUE!</v>
      </c>
      <c r="Y535" s="1"/>
      <c r="Z535" s="1"/>
      <c r="AA535" s="10"/>
      <c r="AB535" s="1" t="s">
        <v>1119</v>
      </c>
      <c r="AC535" s="1" t="s">
        <v>34</v>
      </c>
      <c r="AD535" s="10">
        <v>329.19637650999999</v>
      </c>
      <c r="AE535" s="1" t="s">
        <v>25</v>
      </c>
    </row>
    <row r="536" spans="1:31" x14ac:dyDescent="0.2">
      <c r="A536" s="1" t="s">
        <v>1120</v>
      </c>
      <c r="B536" s="2" t="s">
        <v>1408</v>
      </c>
      <c r="C536" s="3">
        <v>-23.502304147465399</v>
      </c>
      <c r="D536" s="2">
        <v>-1.5129999999999999</v>
      </c>
      <c r="E536" s="2">
        <v>3.7551700000000001</v>
      </c>
      <c r="F536" s="4">
        <v>2.8490000000000002</v>
      </c>
      <c r="G536" s="4">
        <v>10.8714837662585</v>
      </c>
      <c r="H536" s="2">
        <v>17.007000000000001</v>
      </c>
      <c r="I536" s="4">
        <v>3.6999999999999998E-2</v>
      </c>
      <c r="J536" s="4" t="s">
        <v>1408</v>
      </c>
      <c r="K536" s="4">
        <v>0.629637</v>
      </c>
      <c r="L536" s="4" t="s">
        <v>1408</v>
      </c>
      <c r="N536" s="5" t="s">
        <v>1408</v>
      </c>
      <c r="O536" s="5">
        <v>351212</v>
      </c>
      <c r="P536" s="6" t="e">
        <v>#VALUE!</v>
      </c>
      <c r="Q536" s="1"/>
      <c r="R536" s="7" t="e">
        <f ca="1">_xll.SNL.Clients.Office.Excel.Functions.SPG(A536, "SP_TOTAL_DEBT", "LTM")</f>
        <v>#NAME?</v>
      </c>
      <c r="S536" s="8" t="e">
        <f ca="1">_xll.SNL.Clients.Office.Excel.Functions.SPG(A536, "SP_DEBT_TO_EQUITY", "LTM")</f>
        <v>#NAME?</v>
      </c>
      <c r="U536" s="9" t="e">
        <f t="shared" ca="1" si="8"/>
        <v>#VALUE!</v>
      </c>
      <c r="Y536" s="1"/>
      <c r="Z536" s="1"/>
      <c r="AA536" s="10"/>
      <c r="AB536" s="1" t="s">
        <v>1121</v>
      </c>
      <c r="AC536" s="1" t="s">
        <v>65</v>
      </c>
      <c r="AD536" s="10">
        <v>1612.8081485299999</v>
      </c>
      <c r="AE536" s="1" t="s">
        <v>25</v>
      </c>
    </row>
    <row r="537" spans="1:31" x14ac:dyDescent="0.2">
      <c r="A537" s="1" t="s">
        <v>1122</v>
      </c>
      <c r="B537" s="2" t="s">
        <v>1408</v>
      </c>
      <c r="C537" s="3">
        <v>-5.26315789473683</v>
      </c>
      <c r="D537" s="2">
        <v>3.069</v>
      </c>
      <c r="E537" s="2">
        <v>10.483539</v>
      </c>
      <c r="F537" s="4">
        <v>1.123</v>
      </c>
      <c r="G537" s="4">
        <v>12.437818041771999</v>
      </c>
      <c r="H537" s="2" t="s">
        <v>1408</v>
      </c>
      <c r="I537" s="4" t="s">
        <v>1408</v>
      </c>
      <c r="J537" s="4">
        <v>40.173474889835099</v>
      </c>
      <c r="K537" s="4">
        <v>1.1891430000000001</v>
      </c>
      <c r="L537" s="4" t="s">
        <v>1408</v>
      </c>
      <c r="N537" s="5" t="s">
        <v>1408</v>
      </c>
      <c r="O537" s="5">
        <v>34879</v>
      </c>
      <c r="P537" s="6" t="e">
        <v>#VALUE!</v>
      </c>
      <c r="Q537" s="1"/>
      <c r="R537" s="7" t="e">
        <f ca="1">_xll.SNL.Clients.Office.Excel.Functions.SPG(A537, "SP_TOTAL_DEBT", "LTM")</f>
        <v>#NAME?</v>
      </c>
      <c r="S537" s="8" t="e">
        <f ca="1">_xll.SNL.Clients.Office.Excel.Functions.SPG(A537, "SP_DEBT_TO_EQUITY", "LTM")</f>
        <v>#NAME?</v>
      </c>
      <c r="U537" s="9" t="e">
        <f t="shared" ca="1" si="8"/>
        <v>#VALUE!</v>
      </c>
      <c r="Y537" s="1"/>
      <c r="Z537" s="1"/>
      <c r="AA537" s="10"/>
      <c r="AB537" s="1" t="s">
        <v>1123</v>
      </c>
      <c r="AC537" s="1" t="s">
        <v>34</v>
      </c>
      <c r="AD537" s="10">
        <v>363.16273077</v>
      </c>
      <c r="AE537" s="1" t="s">
        <v>25</v>
      </c>
    </row>
    <row r="538" spans="1:31" x14ac:dyDescent="0.2">
      <c r="A538" s="1" t="s">
        <v>1124</v>
      </c>
      <c r="B538" s="2" t="s">
        <v>1408</v>
      </c>
      <c r="C538" s="3" t="s">
        <v>1409</v>
      </c>
      <c r="D538" s="2" t="s">
        <v>1409</v>
      </c>
      <c r="E538" s="2" t="s">
        <v>1409</v>
      </c>
      <c r="F538" s="4">
        <v>-0.51500000000000001</v>
      </c>
      <c r="G538" s="4">
        <v>-12.843645774731501</v>
      </c>
      <c r="H538" s="2">
        <v>7.4489999999999998</v>
      </c>
      <c r="I538" s="4">
        <v>7.0000000000000001E-3</v>
      </c>
      <c r="J538" s="4" t="s">
        <v>1408</v>
      </c>
      <c r="K538" s="4">
        <v>0.74940099999999998</v>
      </c>
      <c r="L538" s="4" t="s">
        <v>1408</v>
      </c>
      <c r="N538" s="5" t="s">
        <v>1408</v>
      </c>
      <c r="O538" s="5">
        <v>-67375</v>
      </c>
      <c r="P538" s="6" t="e">
        <v>#VALUE!</v>
      </c>
      <c r="Q538" s="1"/>
      <c r="R538" s="7" t="e">
        <f ca="1">_xll.SNL.Clients.Office.Excel.Functions.SPG(A538, "SP_TOTAL_DEBT", "LTM")</f>
        <v>#NAME?</v>
      </c>
      <c r="S538" s="8" t="e">
        <f ca="1">_xll.SNL.Clients.Office.Excel.Functions.SPG(A538, "SP_DEBT_TO_EQUITY", "LTM")</f>
        <v>#NAME?</v>
      </c>
      <c r="U538" s="9" t="e">
        <f t="shared" ca="1" si="8"/>
        <v>#VALUE!</v>
      </c>
      <c r="Y538" s="1"/>
      <c r="Z538" s="1"/>
      <c r="AA538" s="10"/>
      <c r="AB538" s="1" t="s">
        <v>1125</v>
      </c>
      <c r="AC538" s="1" t="s">
        <v>65</v>
      </c>
      <c r="AD538" s="10">
        <v>796.04958641999997</v>
      </c>
      <c r="AE538" s="1" t="s">
        <v>25</v>
      </c>
    </row>
    <row r="539" spans="1:31" x14ac:dyDescent="0.2">
      <c r="A539" s="1" t="s">
        <v>1126</v>
      </c>
      <c r="B539" s="2" t="s">
        <v>1408</v>
      </c>
      <c r="C539" s="3" t="s">
        <v>1408</v>
      </c>
      <c r="D539" s="2">
        <v>15.699</v>
      </c>
      <c r="E539" s="2" t="s">
        <v>1408</v>
      </c>
      <c r="F539" s="4">
        <v>2.617</v>
      </c>
      <c r="G539" s="4">
        <v>21.124883532776298</v>
      </c>
      <c r="H539" s="2" t="s">
        <v>1408</v>
      </c>
      <c r="I539" s="4" t="s">
        <v>1408</v>
      </c>
      <c r="J539" s="4">
        <v>51.118038429174597</v>
      </c>
      <c r="K539" s="4" t="s">
        <v>1408</v>
      </c>
      <c r="L539" s="4" t="s">
        <v>1408</v>
      </c>
      <c r="N539" s="5" t="s">
        <v>1408</v>
      </c>
      <c r="O539" s="5">
        <v>5673157</v>
      </c>
      <c r="P539" s="6" t="e">
        <v>#VALUE!</v>
      </c>
      <c r="Q539" s="1"/>
      <c r="R539" s="7" t="e">
        <f ca="1">_xll.SNL.Clients.Office.Excel.Functions.SPG(A539, "SP_TOTAL_DEBT", "LTM")</f>
        <v>#NAME?</v>
      </c>
      <c r="S539" s="8" t="e">
        <f ca="1">_xll.SNL.Clients.Office.Excel.Functions.SPG(A539, "SP_DEBT_TO_EQUITY", "LTM")</f>
        <v>#NAME?</v>
      </c>
      <c r="U539" s="9" t="e">
        <f t="shared" ca="1" si="8"/>
        <v>#VALUE!</v>
      </c>
      <c r="Y539" s="1"/>
      <c r="Z539" s="1"/>
      <c r="AA539" s="10"/>
      <c r="AB539" s="1" t="s">
        <v>1127</v>
      </c>
      <c r="AC539" s="1" t="s">
        <v>34</v>
      </c>
      <c r="AD539" s="10">
        <v>3051.8968650162501</v>
      </c>
      <c r="AE539" s="1" t="s">
        <v>42</v>
      </c>
    </row>
    <row r="540" spans="1:31" x14ac:dyDescent="0.2">
      <c r="A540" s="1" t="s">
        <v>1128</v>
      </c>
      <c r="B540" s="2" t="s">
        <v>1408</v>
      </c>
      <c r="C540" s="3">
        <v>-7.45614035087719</v>
      </c>
      <c r="D540" s="2">
        <v>1.123</v>
      </c>
      <c r="E540" s="2">
        <v>8.4644549999999992</v>
      </c>
      <c r="F540" s="4">
        <v>1.349</v>
      </c>
      <c r="G540" s="4">
        <v>12.539298669891201</v>
      </c>
      <c r="H540" s="2" t="s">
        <v>1408</v>
      </c>
      <c r="I540" s="4" t="s">
        <v>1408</v>
      </c>
      <c r="J540" s="4">
        <v>36.099749307296499</v>
      </c>
      <c r="K540" s="4">
        <v>1.0464640000000001</v>
      </c>
      <c r="L540" s="4" t="s">
        <v>1408</v>
      </c>
      <c r="N540" s="5" t="s">
        <v>1408</v>
      </c>
      <c r="O540" s="5">
        <v>2074000</v>
      </c>
      <c r="P540" s="6" t="e">
        <v>#VALUE!</v>
      </c>
      <c r="Q540" s="1"/>
      <c r="R540" s="7" t="e">
        <f ca="1">_xll.SNL.Clients.Office.Excel.Functions.SPG(A540, "SP_TOTAL_DEBT", "LTM")</f>
        <v>#NAME?</v>
      </c>
      <c r="S540" s="8" t="e">
        <f ca="1">_xll.SNL.Clients.Office.Excel.Functions.SPG(A540, "SP_DEBT_TO_EQUITY", "LTM")</f>
        <v>#NAME?</v>
      </c>
      <c r="U540" s="9" t="e">
        <f t="shared" ca="1" si="8"/>
        <v>#VALUE!</v>
      </c>
      <c r="Y540" s="1"/>
      <c r="Z540" s="1"/>
      <c r="AA540" s="10"/>
      <c r="AB540" s="1" t="s">
        <v>1129</v>
      </c>
      <c r="AC540" s="1" t="s">
        <v>34</v>
      </c>
      <c r="AD540" s="10">
        <v>17251.080000000002</v>
      </c>
      <c r="AE540" s="1" t="s">
        <v>25</v>
      </c>
    </row>
    <row r="541" spans="1:31" x14ac:dyDescent="0.2">
      <c r="A541" s="1" t="s">
        <v>1130</v>
      </c>
      <c r="B541" s="2">
        <v>8.1270000000000007</v>
      </c>
      <c r="C541" s="3">
        <v>75.916230366492101</v>
      </c>
      <c r="D541" s="2">
        <v>14.202</v>
      </c>
      <c r="E541" s="2">
        <v>12.425595</v>
      </c>
      <c r="F541" s="4">
        <v>0.97099999999999997</v>
      </c>
      <c r="G541" s="4">
        <v>11.3856270549554</v>
      </c>
      <c r="H541" s="2">
        <v>1.554</v>
      </c>
      <c r="I541" s="4">
        <v>0.20399999999999999</v>
      </c>
      <c r="J541" s="4" t="s">
        <v>1408</v>
      </c>
      <c r="K541" s="4">
        <v>1.206769</v>
      </c>
      <c r="L541" s="4">
        <v>8.6845189999999999</v>
      </c>
      <c r="N541" s="5" t="s">
        <v>1408</v>
      </c>
      <c r="O541" s="5">
        <v>909000</v>
      </c>
      <c r="P541" s="6" t="e">
        <v>#VALUE!</v>
      </c>
      <c r="Q541" s="1"/>
      <c r="R541" s="7" t="e">
        <f ca="1">_xll.SNL.Clients.Office.Excel.Functions.SPG(A541, "SP_TOTAL_DEBT", "LTM")</f>
        <v>#NAME?</v>
      </c>
      <c r="S541" s="8" t="e">
        <f ca="1">_xll.SNL.Clients.Office.Excel.Functions.SPG(A541, "SP_DEBT_TO_EQUITY", "LTM")</f>
        <v>#NAME?</v>
      </c>
      <c r="U541" s="9" t="e">
        <f t="shared" ca="1" si="8"/>
        <v>#VALUE!</v>
      </c>
      <c r="Y541" s="1"/>
      <c r="Z541" s="1"/>
      <c r="AA541" s="10"/>
      <c r="AB541" s="1" t="s">
        <v>1131</v>
      </c>
      <c r="AC541" s="1" t="s">
        <v>324</v>
      </c>
      <c r="AD541" s="10">
        <v>11460.353475850001</v>
      </c>
      <c r="AE541" s="1" t="s">
        <v>25</v>
      </c>
    </row>
    <row r="542" spans="1:31" x14ac:dyDescent="0.2">
      <c r="A542" s="1" t="s">
        <v>1132</v>
      </c>
      <c r="B542" s="2">
        <v>-15.061999999999999</v>
      </c>
      <c r="C542" s="3" t="s">
        <v>1409</v>
      </c>
      <c r="D542" s="2">
        <v>42.51</v>
      </c>
      <c r="E542" s="2" t="s">
        <v>1409</v>
      </c>
      <c r="F542" s="4">
        <v>-8.2560000000000002</v>
      </c>
      <c r="G542" s="4">
        <v>-24.189565798047099</v>
      </c>
      <c r="H542" s="2">
        <v>2.4260000000000002</v>
      </c>
      <c r="I542" s="4">
        <v>1.143</v>
      </c>
      <c r="J542" s="4" t="s">
        <v>1408</v>
      </c>
      <c r="K542" s="4">
        <v>6.3028170000000001</v>
      </c>
      <c r="L542" s="4" t="s">
        <v>1409</v>
      </c>
      <c r="N542" s="5">
        <v>-67745.875</v>
      </c>
      <c r="O542" s="5">
        <v>-102214</v>
      </c>
      <c r="P542" s="6">
        <v>0.66278469681256968</v>
      </c>
      <c r="Q542" s="1"/>
      <c r="R542" s="7" t="e">
        <f ca="1">_xll.SNL.Clients.Office.Excel.Functions.SPG(A542, "SP_TOTAL_DEBT", "LTM")</f>
        <v>#NAME?</v>
      </c>
      <c r="S542" s="8" t="e">
        <f ca="1">_xll.SNL.Clients.Office.Excel.Functions.SPG(A542, "SP_DEBT_TO_EQUITY", "LTM")</f>
        <v>#NAME?</v>
      </c>
      <c r="U542" s="9" t="e">
        <f t="shared" ca="1" si="8"/>
        <v>#NAME?</v>
      </c>
      <c r="Y542" s="1"/>
      <c r="Z542" s="1"/>
      <c r="AA542" s="10"/>
      <c r="AB542" s="1" t="s">
        <v>1133</v>
      </c>
      <c r="AC542" s="1" t="s">
        <v>167</v>
      </c>
      <c r="AD542" s="10">
        <v>3173.6036807400001</v>
      </c>
      <c r="AE542" s="1" t="s">
        <v>25</v>
      </c>
    </row>
    <row r="543" spans="1:31" x14ac:dyDescent="0.2">
      <c r="A543" s="1" t="s">
        <v>1134</v>
      </c>
      <c r="B543" s="2">
        <v>14.41</v>
      </c>
      <c r="C543" s="3" t="s">
        <v>1409</v>
      </c>
      <c r="D543" s="2">
        <v>79.236999999999995</v>
      </c>
      <c r="E543" s="2">
        <v>4.3556530000000002</v>
      </c>
      <c r="F543" s="4">
        <v>4.8230000000000004</v>
      </c>
      <c r="G543" s="4">
        <v>51.263732348131803</v>
      </c>
      <c r="H543" s="2">
        <v>1.37</v>
      </c>
      <c r="I543" s="4">
        <v>0.214</v>
      </c>
      <c r="J543" s="4" t="s">
        <v>1408</v>
      </c>
      <c r="K543" s="4">
        <v>1.3781559999999999</v>
      </c>
      <c r="L543" s="4" t="s">
        <v>1408</v>
      </c>
      <c r="N543" s="5" t="s">
        <v>1408</v>
      </c>
      <c r="O543" s="5">
        <v>3620127</v>
      </c>
      <c r="P543" s="6" t="e">
        <v>#VALUE!</v>
      </c>
      <c r="Q543" s="1"/>
      <c r="R543" s="7" t="e">
        <f ca="1">_xll.SNL.Clients.Office.Excel.Functions.SPG(A543, "SP_TOTAL_DEBT", "LTM")</f>
        <v>#NAME?</v>
      </c>
      <c r="S543" s="8" t="e">
        <f ca="1">_xll.SNL.Clients.Office.Excel.Functions.SPG(A543, "SP_DEBT_TO_EQUITY", "LTM")</f>
        <v>#NAME?</v>
      </c>
      <c r="U543" s="9" t="e">
        <f t="shared" ca="1" si="8"/>
        <v>#VALUE!</v>
      </c>
      <c r="Y543" s="1"/>
      <c r="Z543" s="1"/>
      <c r="AA543" s="10"/>
      <c r="AB543" s="1" t="s">
        <v>1135</v>
      </c>
      <c r="AC543" s="1" t="s">
        <v>324</v>
      </c>
      <c r="AD543" s="10">
        <v>12057.94216221</v>
      </c>
      <c r="AE543" s="1" t="s">
        <v>25</v>
      </c>
    </row>
    <row r="544" spans="1:31" x14ac:dyDescent="0.2">
      <c r="A544" s="1" t="s">
        <v>1136</v>
      </c>
      <c r="B544" s="2" t="s">
        <v>1408</v>
      </c>
      <c r="C544" s="3">
        <v>-13.220338983050899</v>
      </c>
      <c r="D544" s="2">
        <v>1.5529999999999999</v>
      </c>
      <c r="E544" s="2">
        <v>12.074218999999999</v>
      </c>
      <c r="F544" s="4">
        <v>0.84199999999999997</v>
      </c>
      <c r="G544" s="4">
        <v>6.5038260180013001</v>
      </c>
      <c r="H544" s="2" t="s">
        <v>1408</v>
      </c>
      <c r="I544" s="4" t="s">
        <v>1408</v>
      </c>
      <c r="J544" s="4">
        <v>32.248784030766799</v>
      </c>
      <c r="K544" s="4">
        <v>0.75535799999999997</v>
      </c>
      <c r="L544" s="4" t="s">
        <v>1408</v>
      </c>
      <c r="N544" s="5" t="s">
        <v>1408</v>
      </c>
      <c r="O544" s="5">
        <v>144678</v>
      </c>
      <c r="P544" s="6" t="e">
        <v>#VALUE!</v>
      </c>
      <c r="Q544" s="1"/>
      <c r="R544" s="7" t="e">
        <f ca="1">_xll.SNL.Clients.Office.Excel.Functions.SPG(A544, "SP_TOTAL_DEBT", "LTM")</f>
        <v>#NAME?</v>
      </c>
      <c r="S544" s="8" t="e">
        <f ca="1">_xll.SNL.Clients.Office.Excel.Functions.SPG(A544, "SP_DEBT_TO_EQUITY", "LTM")</f>
        <v>#NAME?</v>
      </c>
      <c r="U544" s="9" t="e">
        <f t="shared" ca="1" si="8"/>
        <v>#VALUE!</v>
      </c>
      <c r="Y544" s="1"/>
      <c r="Z544" s="1"/>
      <c r="AA544" s="10"/>
      <c r="AB544" s="1" t="s">
        <v>1137</v>
      </c>
      <c r="AC544" s="1" t="s">
        <v>34</v>
      </c>
      <c r="AD544" s="10">
        <v>1775.7780074100001</v>
      </c>
      <c r="AE544" s="1" t="s">
        <v>25</v>
      </c>
    </row>
    <row r="545" spans="1:31" x14ac:dyDescent="0.2">
      <c r="A545" s="1" t="s">
        <v>1138</v>
      </c>
      <c r="B545" s="2">
        <v>-1.919</v>
      </c>
      <c r="C545" s="3" t="s">
        <v>1409</v>
      </c>
      <c r="D545" s="2">
        <v>27.350999999999999</v>
      </c>
      <c r="E545" s="2" t="s">
        <v>1409</v>
      </c>
      <c r="F545" s="4">
        <v>-1.2470000000000001</v>
      </c>
      <c r="G545" s="4">
        <v>0.94163792050560402</v>
      </c>
      <c r="H545" s="2">
        <v>3.2970000000000002</v>
      </c>
      <c r="I545" s="4">
        <v>0.182</v>
      </c>
      <c r="J545" s="4" t="s">
        <v>1408</v>
      </c>
      <c r="K545" s="4">
        <v>0.82549899999999998</v>
      </c>
      <c r="L545" s="4">
        <v>15.544767</v>
      </c>
      <c r="N545" s="5">
        <v>34114.785000000003</v>
      </c>
      <c r="O545" s="5">
        <v>-47911</v>
      </c>
      <c r="P545" s="6">
        <v>-0.71204493748825959</v>
      </c>
      <c r="Q545" s="1"/>
      <c r="R545" s="7" t="e">
        <f ca="1">_xll.SNL.Clients.Office.Excel.Functions.SPG(A545, "SP_TOTAL_DEBT", "LTM")</f>
        <v>#NAME?</v>
      </c>
      <c r="S545" s="8" t="e">
        <f ca="1">_xll.SNL.Clients.Office.Excel.Functions.SPG(A545, "SP_DEBT_TO_EQUITY", "LTM")</f>
        <v>#NAME?</v>
      </c>
      <c r="U545" s="9" t="e">
        <f t="shared" ca="1" si="8"/>
        <v>#NAME?</v>
      </c>
      <c r="Y545" s="1"/>
      <c r="Z545" s="1"/>
      <c r="AA545" s="10"/>
      <c r="AB545" s="1" t="s">
        <v>1139</v>
      </c>
      <c r="AC545" s="1" t="s">
        <v>57</v>
      </c>
      <c r="AD545" s="10">
        <v>713.54934447999995</v>
      </c>
      <c r="AE545" s="1" t="s">
        <v>25</v>
      </c>
    </row>
    <row r="546" spans="1:31" x14ac:dyDescent="0.2">
      <c r="A546" s="1" t="s">
        <v>1140</v>
      </c>
      <c r="B546" s="2" t="s">
        <v>1408</v>
      </c>
      <c r="C546" s="3">
        <v>0.65359477124183596</v>
      </c>
      <c r="D546" s="2">
        <v>8.6419999999999995</v>
      </c>
      <c r="E546" s="2">
        <v>10.742531</v>
      </c>
      <c r="F546" s="4">
        <v>1.454</v>
      </c>
      <c r="G546" s="4">
        <v>10.101163644573701</v>
      </c>
      <c r="H546" s="2" t="s">
        <v>1408</v>
      </c>
      <c r="I546" s="4" t="s">
        <v>1408</v>
      </c>
      <c r="J546" s="4" t="s">
        <v>1408</v>
      </c>
      <c r="K546" s="4">
        <v>1.037094</v>
      </c>
      <c r="L546" s="4" t="s">
        <v>1408</v>
      </c>
      <c r="N546" s="5" t="s">
        <v>1408</v>
      </c>
      <c r="O546" s="5">
        <v>90374</v>
      </c>
      <c r="P546" s="6" t="e">
        <v>#VALUE!</v>
      </c>
      <c r="Q546" s="1"/>
      <c r="R546" s="7" t="e">
        <f ca="1">_xll.SNL.Clients.Office.Excel.Functions.SPG(A546, "SP_TOTAL_DEBT", "LTM")</f>
        <v>#NAME?</v>
      </c>
      <c r="S546" s="8" t="e">
        <f ca="1">_xll.SNL.Clients.Office.Excel.Functions.SPG(A546, "SP_DEBT_TO_EQUITY", "LTM")</f>
        <v>#NAME?</v>
      </c>
      <c r="U546" s="9" t="e">
        <f t="shared" ca="1" si="8"/>
        <v>#VALUE!</v>
      </c>
      <c r="Y546" s="1"/>
      <c r="Z546" s="1"/>
      <c r="AA546" s="10"/>
      <c r="AB546" s="1" t="s">
        <v>1141</v>
      </c>
      <c r="AC546" s="1" t="s">
        <v>34</v>
      </c>
      <c r="AD546" s="10">
        <v>992.81597275000001</v>
      </c>
      <c r="AE546" s="1" t="s">
        <v>25</v>
      </c>
    </row>
    <row r="547" spans="1:31" x14ac:dyDescent="0.2">
      <c r="A547" s="1" t="s">
        <v>1142</v>
      </c>
      <c r="B547" s="2" t="s">
        <v>1408</v>
      </c>
      <c r="C547" s="3">
        <v>14.8006226337304</v>
      </c>
      <c r="D547" s="2">
        <v>12.61</v>
      </c>
      <c r="E547" s="2">
        <v>10.37555</v>
      </c>
      <c r="F547" s="4">
        <v>1.831</v>
      </c>
      <c r="G547" s="4">
        <v>14.2294728047533</v>
      </c>
      <c r="H547" s="2" t="s">
        <v>1408</v>
      </c>
      <c r="I547" s="4" t="s">
        <v>1408</v>
      </c>
      <c r="J547" s="4">
        <v>39.746599141192497</v>
      </c>
      <c r="K547" s="4">
        <v>1.4861800000000001</v>
      </c>
      <c r="L547" s="4" t="s">
        <v>1408</v>
      </c>
      <c r="N547" s="5" t="s">
        <v>1408</v>
      </c>
      <c r="O547" s="5">
        <v>2094039</v>
      </c>
      <c r="P547" s="6" t="e">
        <v>#VALUE!</v>
      </c>
      <c r="Q547" s="1"/>
      <c r="R547" s="7" t="e">
        <f ca="1">_xll.SNL.Clients.Office.Excel.Functions.SPG(A547, "SP_TOTAL_DEBT", "LTM")</f>
        <v>#NAME?</v>
      </c>
      <c r="S547" s="8" t="e">
        <f ca="1">_xll.SNL.Clients.Office.Excel.Functions.SPG(A547, "SP_DEBT_TO_EQUITY", "LTM")</f>
        <v>#NAME?</v>
      </c>
      <c r="U547" s="9" t="e">
        <f t="shared" ca="1" si="8"/>
        <v>#VALUE!</v>
      </c>
      <c r="Y547" s="1"/>
      <c r="Z547" s="1"/>
      <c r="AA547" s="10"/>
      <c r="AB547" s="1" t="s">
        <v>1143</v>
      </c>
      <c r="AC547" s="1" t="s">
        <v>34</v>
      </c>
      <c r="AD547" s="10">
        <v>2905.5711886823301</v>
      </c>
      <c r="AE547" s="1" t="s">
        <v>42</v>
      </c>
    </row>
    <row r="548" spans="1:31" x14ac:dyDescent="0.2">
      <c r="A548" s="1" t="s">
        <v>1144</v>
      </c>
      <c r="B548" s="2">
        <v>4.0140000000000002</v>
      </c>
      <c r="C548" s="3" t="s">
        <v>1408</v>
      </c>
      <c r="D548" s="2" t="s">
        <v>1408</v>
      </c>
      <c r="E548" s="2">
        <v>33.883792</v>
      </c>
      <c r="F548" s="4">
        <v>-0.308</v>
      </c>
      <c r="G548" s="4" t="s">
        <v>1408</v>
      </c>
      <c r="H548" s="2">
        <v>4.2000000000000003E-2</v>
      </c>
      <c r="I548" s="4" t="s">
        <v>1408</v>
      </c>
      <c r="J548" s="4" t="s">
        <v>1408</v>
      </c>
      <c r="K548" s="4" t="s">
        <v>1409</v>
      </c>
      <c r="L548" s="4" t="s">
        <v>1408</v>
      </c>
      <c r="N548" s="5">
        <v>-3.927</v>
      </c>
      <c r="O548" s="5">
        <v>10159.974</v>
      </c>
      <c r="P548" s="6">
        <v>-3.8651673714913052E-4</v>
      </c>
      <c r="Q548" s="1"/>
      <c r="R548" s="7" t="e">
        <f ca="1">_xll.SNL.Clients.Office.Excel.Functions.SPG(A548, "SP_TOTAL_DEBT", "LTM")</f>
        <v>#NAME?</v>
      </c>
      <c r="S548" s="8" t="e">
        <f ca="1">_xll.SNL.Clients.Office.Excel.Functions.SPG(A548, "SP_DEBT_TO_EQUITY", "LTM")</f>
        <v>#NAME?</v>
      </c>
      <c r="U548" s="9" t="e">
        <f t="shared" ca="1" si="8"/>
        <v>#NAME?</v>
      </c>
      <c r="Y548" s="1"/>
      <c r="Z548" s="1"/>
      <c r="AA548" s="10"/>
      <c r="AB548" s="1" t="s">
        <v>1145</v>
      </c>
      <c r="AC548" s="1" t="s">
        <v>37</v>
      </c>
      <c r="AD548" s="10">
        <v>355.33596563999998</v>
      </c>
      <c r="AE548" s="1" t="s">
        <v>25</v>
      </c>
    </row>
    <row r="549" spans="1:31" x14ac:dyDescent="0.2">
      <c r="A549" s="1" t="s">
        <v>1146</v>
      </c>
      <c r="B549" s="2">
        <v>10.776999999999999</v>
      </c>
      <c r="C549" s="3" t="s">
        <v>1408</v>
      </c>
      <c r="D549" s="2">
        <v>2.8380000000000001</v>
      </c>
      <c r="E549" s="2">
        <v>5.095866</v>
      </c>
      <c r="F549" s="4">
        <v>1.5620000000000001</v>
      </c>
      <c r="G549" s="4" t="s">
        <v>1408</v>
      </c>
      <c r="H549" s="2">
        <v>1.159</v>
      </c>
      <c r="I549" s="4">
        <v>0.27100000000000002</v>
      </c>
      <c r="J549" s="4" t="s">
        <v>1408</v>
      </c>
      <c r="K549" s="4">
        <v>0.70202799999999999</v>
      </c>
      <c r="L549" s="4">
        <v>1.9237139999999999</v>
      </c>
      <c r="N549" s="5">
        <v>64320.875</v>
      </c>
      <c r="O549" s="5">
        <v>408646</v>
      </c>
      <c r="P549" s="6">
        <v>0.15739998678562864</v>
      </c>
      <c r="Q549" s="1"/>
      <c r="R549" s="7" t="e">
        <f ca="1">_xll.SNL.Clients.Office.Excel.Functions.SPG(A549, "SP_TOTAL_DEBT", "LTM")</f>
        <v>#NAME?</v>
      </c>
      <c r="S549" s="8" t="e">
        <f ca="1">_xll.SNL.Clients.Office.Excel.Functions.SPG(A549, "SP_DEBT_TO_EQUITY", "LTM")</f>
        <v>#NAME?</v>
      </c>
      <c r="U549" s="9" t="e">
        <f t="shared" ca="1" si="8"/>
        <v>#NAME?</v>
      </c>
      <c r="Y549" s="1"/>
      <c r="Z549" s="1"/>
      <c r="AA549" s="10"/>
      <c r="AB549" s="1" t="s">
        <v>1147</v>
      </c>
      <c r="AC549" s="1" t="s">
        <v>108</v>
      </c>
      <c r="AD549" s="10">
        <v>483.14399915851499</v>
      </c>
      <c r="AE549" s="1" t="s">
        <v>42</v>
      </c>
    </row>
    <row r="550" spans="1:31" x14ac:dyDescent="0.2">
      <c r="A550" s="1" t="s">
        <v>1148</v>
      </c>
      <c r="B550" s="2" t="s">
        <v>1408</v>
      </c>
      <c r="C550" s="3">
        <v>-38.8888888888889</v>
      </c>
      <c r="D550" s="2">
        <v>24.498000000000001</v>
      </c>
      <c r="E550" s="2">
        <v>7.246575</v>
      </c>
      <c r="F550" s="4" t="s">
        <v>1408</v>
      </c>
      <c r="G550" s="4">
        <v>8.86003852877821</v>
      </c>
      <c r="H550" s="2" t="s">
        <v>1408</v>
      </c>
      <c r="I550" s="4" t="s">
        <v>1408</v>
      </c>
      <c r="J550" s="4" t="s">
        <v>1408</v>
      </c>
      <c r="K550" s="4">
        <v>0.85911499999999996</v>
      </c>
      <c r="L550" s="4" t="s">
        <v>1408</v>
      </c>
      <c r="N550" s="5" t="s">
        <v>1408</v>
      </c>
      <c r="O550" s="5">
        <v>803658</v>
      </c>
      <c r="P550" s="6" t="e">
        <v>#VALUE!</v>
      </c>
      <c r="Q550" s="1"/>
      <c r="R550" s="7" t="e">
        <f ca="1">_xll.SNL.Clients.Office.Excel.Functions.SPG(A550, "SP_TOTAL_DEBT", "LTM")</f>
        <v>#NAME?</v>
      </c>
      <c r="S550" s="8" t="e">
        <f ca="1">_xll.SNL.Clients.Office.Excel.Functions.SPG(A550, "SP_DEBT_TO_EQUITY", "LTM")</f>
        <v>#NAME?</v>
      </c>
      <c r="U550" s="9" t="e">
        <f t="shared" ca="1" si="8"/>
        <v>#VALUE!</v>
      </c>
      <c r="Y550" s="1"/>
      <c r="Z550" s="1"/>
      <c r="AA550" s="10"/>
      <c r="AB550" s="1" t="s">
        <v>1149</v>
      </c>
      <c r="AC550" s="1" t="s">
        <v>65</v>
      </c>
      <c r="AD550" s="10">
        <v>5170.3904527000004</v>
      </c>
      <c r="AE550" s="1" t="s">
        <v>25</v>
      </c>
    </row>
    <row r="551" spans="1:31" x14ac:dyDescent="0.2">
      <c r="A551" s="1" t="s">
        <v>1150</v>
      </c>
      <c r="B551" s="2" t="s">
        <v>1408</v>
      </c>
      <c r="C551" s="3">
        <v>25.667287399130998</v>
      </c>
      <c r="D551" s="2">
        <v>7.9189999999999996</v>
      </c>
      <c r="E551" s="2">
        <v>7.6039729999999999</v>
      </c>
      <c r="F551" s="4">
        <v>1.242</v>
      </c>
      <c r="G551" s="4">
        <v>15.6434740705526</v>
      </c>
      <c r="H551" s="2" t="s">
        <v>1408</v>
      </c>
      <c r="I551" s="4" t="s">
        <v>1408</v>
      </c>
      <c r="J551" s="4" t="s">
        <v>1408</v>
      </c>
      <c r="K551" s="4">
        <v>1.0151950000000001</v>
      </c>
      <c r="L551" s="4" t="s">
        <v>1408</v>
      </c>
      <c r="N551" s="5" t="s">
        <v>1408</v>
      </c>
      <c r="O551" s="5">
        <v>60300</v>
      </c>
      <c r="P551" s="6" t="e">
        <v>#VALUE!</v>
      </c>
      <c r="Q551" s="1"/>
      <c r="R551" s="7" t="e">
        <f ca="1">_xll.SNL.Clients.Office.Excel.Functions.SPG(A551, "SP_TOTAL_DEBT", "LTM")</f>
        <v>#NAME?</v>
      </c>
      <c r="S551" s="8" t="e">
        <f ca="1">_xll.SNL.Clients.Office.Excel.Functions.SPG(A551, "SP_DEBT_TO_EQUITY", "LTM")</f>
        <v>#NAME?</v>
      </c>
      <c r="U551" s="9" t="e">
        <f t="shared" ca="1" si="8"/>
        <v>#VALUE!</v>
      </c>
      <c r="Y551" s="1"/>
      <c r="Z551" s="1"/>
      <c r="AA551" s="10"/>
      <c r="AB551" s="1" t="s">
        <v>1151</v>
      </c>
      <c r="AC551" s="1" t="s">
        <v>34</v>
      </c>
      <c r="AD551" s="10">
        <v>379.43260135999998</v>
      </c>
      <c r="AE551" s="1" t="s">
        <v>25</v>
      </c>
    </row>
    <row r="552" spans="1:31" x14ac:dyDescent="0.2">
      <c r="A552" s="1" t="s">
        <v>1152</v>
      </c>
      <c r="B552" s="2">
        <v>16.132999999999999</v>
      </c>
      <c r="C552" s="3">
        <v>-48.116169544740998</v>
      </c>
      <c r="D552" s="2">
        <v>-10.954000000000001</v>
      </c>
      <c r="E552" s="2">
        <v>20.791225000000001</v>
      </c>
      <c r="F552" s="4">
        <v>4.7119999999999997</v>
      </c>
      <c r="G552" s="4">
        <v>23.206903385421001</v>
      </c>
      <c r="H552" s="2">
        <v>0.998</v>
      </c>
      <c r="I552" s="4">
        <v>0.30399999999999999</v>
      </c>
      <c r="J552" s="4" t="s">
        <v>1408</v>
      </c>
      <c r="K552" s="4">
        <v>4.4373769999999997</v>
      </c>
      <c r="L552" s="4">
        <v>16.135458</v>
      </c>
      <c r="N552" s="5" t="s">
        <v>1408</v>
      </c>
      <c r="O552" s="5">
        <v>304611</v>
      </c>
      <c r="P552" s="6" t="e">
        <v>#VALUE!</v>
      </c>
      <c r="Q552" s="1"/>
      <c r="R552" s="7" t="e">
        <f ca="1">_xll.SNL.Clients.Office.Excel.Functions.SPG(A552, "SP_TOTAL_DEBT", "LTM")</f>
        <v>#NAME?</v>
      </c>
      <c r="S552" s="8" t="e">
        <f ca="1">_xll.SNL.Clients.Office.Excel.Functions.SPG(A552, "SP_DEBT_TO_EQUITY", "LTM")</f>
        <v>#NAME?</v>
      </c>
      <c r="U552" s="9" t="e">
        <f t="shared" ca="1" si="8"/>
        <v>#VALUE!</v>
      </c>
      <c r="Y552" s="1"/>
      <c r="Z552" s="1"/>
      <c r="AA552" s="10"/>
      <c r="AB552" s="1" t="s">
        <v>1153</v>
      </c>
      <c r="AC552" s="1" t="s">
        <v>95</v>
      </c>
      <c r="AD552" s="10">
        <v>6221.9863912700002</v>
      </c>
      <c r="AE552" s="1" t="s">
        <v>25</v>
      </c>
    </row>
    <row r="553" spans="1:31" x14ac:dyDescent="0.2">
      <c r="A553" s="1" t="s">
        <v>1154</v>
      </c>
      <c r="B553" s="2" t="s">
        <v>1408</v>
      </c>
      <c r="C553" s="3" t="s">
        <v>1409</v>
      </c>
      <c r="D553" s="2">
        <v>-25.178999999999998</v>
      </c>
      <c r="E553" s="2" t="s">
        <v>1409</v>
      </c>
      <c r="F553" s="4">
        <v>-2.895</v>
      </c>
      <c r="G553" s="4">
        <v>-14.5678468771914</v>
      </c>
      <c r="H553" s="2">
        <v>1.22</v>
      </c>
      <c r="I553" s="4">
        <v>7.0000000000000007E-2</v>
      </c>
      <c r="J553" s="4" t="s">
        <v>1408</v>
      </c>
      <c r="K553" s="4">
        <v>1.4143269999999999</v>
      </c>
      <c r="L553" s="4" t="s">
        <v>1408</v>
      </c>
      <c r="N553" s="5" t="s">
        <v>1408</v>
      </c>
      <c r="O553" s="5">
        <v>-737000</v>
      </c>
      <c r="P553" s="6" t="e">
        <v>#VALUE!</v>
      </c>
      <c r="Q553" s="1"/>
      <c r="R553" s="7" t="e">
        <f ca="1">_xll.SNL.Clients.Office.Excel.Functions.SPG(A553, "SP_TOTAL_DEBT", "LTM")</f>
        <v>#NAME?</v>
      </c>
      <c r="S553" s="8" t="e">
        <f ca="1">_xll.SNL.Clients.Office.Excel.Functions.SPG(A553, "SP_DEBT_TO_EQUITY", "LTM")</f>
        <v>#NAME?</v>
      </c>
      <c r="U553" s="9" t="e">
        <f t="shared" ca="1" si="8"/>
        <v>#VALUE!</v>
      </c>
      <c r="Y553" s="1"/>
      <c r="Z553" s="1"/>
      <c r="AA553" s="10"/>
      <c r="AB553" s="1" t="s">
        <v>1155</v>
      </c>
      <c r="AC553" s="1" t="s">
        <v>174</v>
      </c>
      <c r="AD553" s="10">
        <v>9287.75832558</v>
      </c>
      <c r="AE553" s="1" t="s">
        <v>25</v>
      </c>
    </row>
    <row r="554" spans="1:31" x14ac:dyDescent="0.2">
      <c r="A554" s="1" t="s">
        <v>1156</v>
      </c>
      <c r="B554" s="2">
        <v>2.669</v>
      </c>
      <c r="C554" s="3">
        <v>-87.931034482758605</v>
      </c>
      <c r="D554" s="2">
        <v>-54.423999999999999</v>
      </c>
      <c r="E554" s="2" t="s">
        <v>1409</v>
      </c>
      <c r="F554" s="4">
        <v>-1.0029999999999999</v>
      </c>
      <c r="G554" s="4">
        <v>7.8860581974415496</v>
      </c>
      <c r="H554" s="2">
        <v>3.8679999999999999</v>
      </c>
      <c r="I554" s="4">
        <v>0.17299999999999999</v>
      </c>
      <c r="J554" s="4">
        <v>-17.8832713206702</v>
      </c>
      <c r="K554" s="4">
        <v>2.503755</v>
      </c>
      <c r="L554" s="4" t="s">
        <v>1409</v>
      </c>
      <c r="N554" s="5">
        <v>2560746.5</v>
      </c>
      <c r="O554" s="5">
        <v>-650041</v>
      </c>
      <c r="P554" s="6">
        <v>-3.9393615171966077</v>
      </c>
      <c r="Q554" s="1"/>
      <c r="R554" s="7" t="e">
        <f ca="1">_xll.SNL.Clients.Office.Excel.Functions.SPG(A554, "SP_TOTAL_DEBT", "LTM")</f>
        <v>#NAME?</v>
      </c>
      <c r="S554" s="8" t="e">
        <f ca="1">_xll.SNL.Clients.Office.Excel.Functions.SPG(A554, "SP_DEBT_TO_EQUITY", "LTM")</f>
        <v>#NAME?</v>
      </c>
      <c r="U554" s="9" t="e">
        <f t="shared" ca="1" si="8"/>
        <v>#NAME?</v>
      </c>
      <c r="Y554" s="1"/>
      <c r="Z554" s="1"/>
      <c r="AA554" s="10"/>
      <c r="AB554" s="1" t="s">
        <v>1157</v>
      </c>
      <c r="AC554" s="1" t="s">
        <v>164</v>
      </c>
      <c r="AD554" s="10">
        <v>1642.11945814</v>
      </c>
      <c r="AE554" s="1" t="s">
        <v>25</v>
      </c>
    </row>
    <row r="555" spans="1:31" x14ac:dyDescent="0.2">
      <c r="A555" s="1" t="s">
        <v>1158</v>
      </c>
      <c r="B555" s="2">
        <v>7.3540000000000001</v>
      </c>
      <c r="C555" s="3" t="s">
        <v>1409</v>
      </c>
      <c r="D555" s="2">
        <v>19.527999999999999</v>
      </c>
      <c r="E555" s="2">
        <v>85.288269999999997</v>
      </c>
      <c r="F555" s="4">
        <v>3.7069999999999999</v>
      </c>
      <c r="G555" s="4">
        <v>23.4112953401869</v>
      </c>
      <c r="H555" s="2">
        <v>1.2030000000000001</v>
      </c>
      <c r="I555" s="4">
        <v>0.32</v>
      </c>
      <c r="J555" s="4" t="s">
        <v>1408</v>
      </c>
      <c r="K555" s="4">
        <v>9.3402999999999992</v>
      </c>
      <c r="L555" s="4">
        <v>13.387382000000001</v>
      </c>
      <c r="N555" s="5">
        <v>372024.5</v>
      </c>
      <c r="O555" s="5">
        <v>181759</v>
      </c>
      <c r="P555" s="6">
        <v>2.046800983720201</v>
      </c>
      <c r="Q555" s="1"/>
      <c r="R555" s="7" t="e">
        <f ca="1">_xll.SNL.Clients.Office.Excel.Functions.SPG(A555, "SP_TOTAL_DEBT", "LTM")</f>
        <v>#NAME?</v>
      </c>
      <c r="S555" s="8" t="e">
        <f ca="1">_xll.SNL.Clients.Office.Excel.Functions.SPG(A555, "SP_DEBT_TO_EQUITY", "LTM")</f>
        <v>#NAME?</v>
      </c>
      <c r="U555" s="9" t="e">
        <f t="shared" ca="1" si="8"/>
        <v>#NAME?</v>
      </c>
      <c r="Y555" s="1"/>
      <c r="Z555" s="1"/>
      <c r="AA555" s="10"/>
      <c r="AB555" s="1" t="s">
        <v>1159</v>
      </c>
      <c r="AC555" s="1" t="s">
        <v>24</v>
      </c>
      <c r="AD555" s="10">
        <v>5124.7238565600001</v>
      </c>
      <c r="AE555" s="1" t="s">
        <v>25</v>
      </c>
    </row>
    <row r="556" spans="1:31" x14ac:dyDescent="0.2">
      <c r="A556" s="1" t="s">
        <v>1160</v>
      </c>
      <c r="B556" s="2" t="s">
        <v>1408</v>
      </c>
      <c r="C556" s="3">
        <v>8.0924855491329595</v>
      </c>
      <c r="D556" s="2">
        <v>6.4160000000000004</v>
      </c>
      <c r="E556" s="2">
        <v>8.4090910000000001</v>
      </c>
      <c r="F556" s="4">
        <v>1.552</v>
      </c>
      <c r="G556" s="4">
        <v>11.796400647909399</v>
      </c>
      <c r="H556" s="2" t="s">
        <v>1408</v>
      </c>
      <c r="I556" s="4" t="s">
        <v>1408</v>
      </c>
      <c r="J556" s="4" t="s">
        <v>1408</v>
      </c>
      <c r="K556" s="4">
        <v>0.93687600000000004</v>
      </c>
      <c r="L556" s="4" t="s">
        <v>1408</v>
      </c>
      <c r="N556" s="5" t="s">
        <v>1408</v>
      </c>
      <c r="O556" s="5">
        <v>144781</v>
      </c>
      <c r="P556" s="6" t="e">
        <v>#VALUE!</v>
      </c>
      <c r="Q556" s="1"/>
      <c r="R556" s="7" t="e">
        <f ca="1">_xll.SNL.Clients.Office.Excel.Functions.SPG(A556, "SP_TOTAL_DEBT", "LTM")</f>
        <v>#NAME?</v>
      </c>
      <c r="S556" s="8" t="e">
        <f ca="1">_xll.SNL.Clients.Office.Excel.Functions.SPG(A556, "SP_DEBT_TO_EQUITY", "LTM")</f>
        <v>#NAME?</v>
      </c>
      <c r="U556" s="9" t="e">
        <f t="shared" ca="1" si="8"/>
        <v>#VALUE!</v>
      </c>
      <c r="Y556" s="1"/>
      <c r="Z556" s="1"/>
      <c r="AA556" s="10"/>
      <c r="AB556" s="1" t="s">
        <v>1161</v>
      </c>
      <c r="AC556" s="1" t="s">
        <v>34</v>
      </c>
      <c r="AD556" s="10">
        <v>1274.68175204</v>
      </c>
      <c r="AE556" s="1" t="s">
        <v>25</v>
      </c>
    </row>
    <row r="557" spans="1:31" x14ac:dyDescent="0.2">
      <c r="A557" s="1" t="s">
        <v>1162</v>
      </c>
      <c r="B557" s="2">
        <v>4.0510000000000002</v>
      </c>
      <c r="C557" s="3">
        <v>-64.204545454545496</v>
      </c>
      <c r="D557" s="2">
        <v>-9.8710000000000004</v>
      </c>
      <c r="E557" s="2">
        <v>38.673903000000003</v>
      </c>
      <c r="F557" s="4">
        <v>1.294</v>
      </c>
      <c r="G557" s="4">
        <v>5.5854287738171804</v>
      </c>
      <c r="H557" s="2">
        <v>0.39900000000000002</v>
      </c>
      <c r="I557" s="4">
        <v>0.45100000000000001</v>
      </c>
      <c r="J557" s="4" t="s">
        <v>1408</v>
      </c>
      <c r="K557" s="4">
        <v>1.5747800000000001</v>
      </c>
      <c r="L557" s="4">
        <v>23.642429</v>
      </c>
      <c r="N557" s="5">
        <v>81338.375</v>
      </c>
      <c r="O557" s="5">
        <v>31243</v>
      </c>
      <c r="P557" s="6">
        <v>2.6034111641007587</v>
      </c>
      <c r="Q557" s="1"/>
      <c r="R557" s="7" t="e">
        <f ca="1">_xll.SNL.Clients.Office.Excel.Functions.SPG(A557, "SP_TOTAL_DEBT", "LTM")</f>
        <v>#NAME?</v>
      </c>
      <c r="S557" s="8" t="e">
        <f ca="1">_xll.SNL.Clients.Office.Excel.Functions.SPG(A557, "SP_DEBT_TO_EQUITY", "LTM")</f>
        <v>#NAME?</v>
      </c>
      <c r="U557" s="9" t="e">
        <f t="shared" ca="1" si="8"/>
        <v>#NAME?</v>
      </c>
      <c r="Y557" s="1"/>
      <c r="Z557" s="1"/>
      <c r="AA557" s="10"/>
      <c r="AB557" s="1" t="s">
        <v>1163</v>
      </c>
      <c r="AC557" s="1" t="s">
        <v>95</v>
      </c>
      <c r="AD557" s="10">
        <v>1232.31377217</v>
      </c>
      <c r="AE557" s="1" t="s">
        <v>25</v>
      </c>
    </row>
    <row r="558" spans="1:31" x14ac:dyDescent="0.2">
      <c r="A558" s="1" t="s">
        <v>1164</v>
      </c>
      <c r="B558" s="2">
        <v>65.866</v>
      </c>
      <c r="C558" s="3" t="s">
        <v>1408</v>
      </c>
      <c r="D558" s="2" t="s">
        <v>1408</v>
      </c>
      <c r="E558" s="2" t="s">
        <v>1409</v>
      </c>
      <c r="F558" s="4" t="s">
        <v>1408</v>
      </c>
      <c r="G558" s="4" t="s">
        <v>1408</v>
      </c>
      <c r="H558" s="2">
        <v>3.7999999999999999E-2</v>
      </c>
      <c r="I558" s="4" t="s">
        <v>1408</v>
      </c>
      <c r="J558" s="4" t="s">
        <v>1408</v>
      </c>
      <c r="K558" s="4" t="s">
        <v>1409</v>
      </c>
      <c r="L558" s="4" t="s">
        <v>1408</v>
      </c>
      <c r="N558" s="5" t="s">
        <v>1408</v>
      </c>
      <c r="O558" s="5">
        <v>-3951.221</v>
      </c>
      <c r="P558" s="6" t="e">
        <v>#VALUE!</v>
      </c>
      <c r="Q558" s="1"/>
      <c r="R558" s="7" t="e">
        <f ca="1">_xll.SNL.Clients.Office.Excel.Functions.SPG(A558, "SP_TOTAL_DEBT", "LTM")</f>
        <v>#NAME?</v>
      </c>
      <c r="S558" s="8" t="e">
        <f ca="1">_xll.SNL.Clients.Office.Excel.Functions.SPG(A558, "SP_DEBT_TO_EQUITY", "LTM")</f>
        <v>#NAME?</v>
      </c>
      <c r="U558" s="9" t="e">
        <f t="shared" ca="1" si="8"/>
        <v>#VALUE!</v>
      </c>
      <c r="Y558" s="1"/>
      <c r="Z558" s="1"/>
      <c r="AA558" s="10"/>
      <c r="AB558" s="1" t="s">
        <v>1165</v>
      </c>
      <c r="AC558" s="1" t="s">
        <v>37</v>
      </c>
      <c r="AD558" s="10">
        <v>545.27702384999998</v>
      </c>
      <c r="AE558" s="1" t="s">
        <v>25</v>
      </c>
    </row>
    <row r="559" spans="1:31" x14ac:dyDescent="0.2">
      <c r="A559" s="1" t="s">
        <v>1166</v>
      </c>
      <c r="B559" s="2">
        <v>6.5880000000000001</v>
      </c>
      <c r="C559" s="3" t="s">
        <v>1408</v>
      </c>
      <c r="D559" s="2">
        <v>8.6029999999999998</v>
      </c>
      <c r="E559" s="2">
        <v>1.7250620000000001</v>
      </c>
      <c r="F559" s="4">
        <v>4.3140000000000001</v>
      </c>
      <c r="G559" s="4" t="s">
        <v>1408</v>
      </c>
      <c r="H559" s="2">
        <v>24.334</v>
      </c>
      <c r="I559" s="4">
        <v>0.27700000000000002</v>
      </c>
      <c r="J559" s="4" t="s">
        <v>1408</v>
      </c>
      <c r="K559" s="4">
        <v>1.5189429999999999</v>
      </c>
      <c r="L559" s="4">
        <v>1.670361</v>
      </c>
      <c r="N559" s="5">
        <v>-4467686.125</v>
      </c>
      <c r="O559" s="5">
        <v>486680</v>
      </c>
      <c r="P559" s="6">
        <v>-9.1799254643708394</v>
      </c>
      <c r="Q559" s="1"/>
      <c r="R559" s="7" t="e">
        <f ca="1">_xll.SNL.Clients.Office.Excel.Functions.SPG(A559, "SP_TOTAL_DEBT", "LTM")</f>
        <v>#NAME?</v>
      </c>
      <c r="S559" s="8" t="e">
        <f ca="1">_xll.SNL.Clients.Office.Excel.Functions.SPG(A559, "SP_DEBT_TO_EQUITY", "LTM")</f>
        <v>#NAME?</v>
      </c>
      <c r="U559" s="9" t="e">
        <f t="shared" ca="1" si="8"/>
        <v>#NAME?</v>
      </c>
      <c r="Y559" s="1"/>
      <c r="Z559" s="1"/>
      <c r="AA559" s="10"/>
      <c r="AB559" s="1" t="s">
        <v>1167</v>
      </c>
      <c r="AC559" s="1" t="s">
        <v>60</v>
      </c>
      <c r="AD559" s="10">
        <v>658.74817810133902</v>
      </c>
      <c r="AE559" s="1" t="s">
        <v>42</v>
      </c>
    </row>
    <row r="560" spans="1:31" x14ac:dyDescent="0.2">
      <c r="A560" s="1" t="s">
        <v>1168</v>
      </c>
      <c r="B560" s="2">
        <v>7.4359999999999999</v>
      </c>
      <c r="C560" s="3" t="s">
        <v>1408</v>
      </c>
      <c r="D560" s="2">
        <v>-2.335</v>
      </c>
      <c r="E560" s="2">
        <v>6.4764720000000002</v>
      </c>
      <c r="F560" s="4">
        <v>4.5410000000000004</v>
      </c>
      <c r="G560" s="4" t="s">
        <v>1408</v>
      </c>
      <c r="H560" s="2">
        <v>117.53</v>
      </c>
      <c r="I560" s="4">
        <v>0.221</v>
      </c>
      <c r="J560" s="4" t="s">
        <v>1408</v>
      </c>
      <c r="K560" s="4">
        <v>2.011816</v>
      </c>
      <c r="L560" s="4">
        <v>3.6163419999999999</v>
      </c>
      <c r="N560" s="5">
        <v>5045621.875</v>
      </c>
      <c r="O560" s="5">
        <v>27056516</v>
      </c>
      <c r="P560" s="6">
        <v>0.18648453758791414</v>
      </c>
      <c r="Q560" s="1"/>
      <c r="R560" s="7" t="e">
        <f ca="1">_xll.SNL.Clients.Office.Excel.Functions.SPG(A560, "SP_TOTAL_DEBT", "LTM")</f>
        <v>#NAME?</v>
      </c>
      <c r="S560" s="8" t="e">
        <f ca="1">_xll.SNL.Clients.Office.Excel.Functions.SPG(A560, "SP_DEBT_TO_EQUITY", "LTM")</f>
        <v>#NAME?</v>
      </c>
      <c r="U560" s="9" t="e">
        <f t="shared" ca="1" si="8"/>
        <v>#NAME?</v>
      </c>
      <c r="Y560" s="1"/>
      <c r="Z560" s="1"/>
      <c r="AA560" s="10"/>
      <c r="AB560" s="1" t="s">
        <v>1169</v>
      </c>
      <c r="AC560" s="1" t="s">
        <v>60</v>
      </c>
      <c r="AD560" s="10">
        <v>1127.44365734495</v>
      </c>
      <c r="AE560" s="1" t="s">
        <v>42</v>
      </c>
    </row>
    <row r="561" spans="1:31" x14ac:dyDescent="0.2">
      <c r="A561" s="1" t="s">
        <v>1170</v>
      </c>
      <c r="B561" s="2" t="s">
        <v>1408</v>
      </c>
      <c r="C561" s="3">
        <v>-25.815217391304401</v>
      </c>
      <c r="D561" s="2">
        <v>-8.4359999999999999</v>
      </c>
      <c r="E561" s="2">
        <v>8.4798530000000003</v>
      </c>
      <c r="F561" s="4">
        <v>0.88200000000000001</v>
      </c>
      <c r="G561" s="4">
        <v>8.0382557212797394</v>
      </c>
      <c r="H561" s="2" t="s">
        <v>1408</v>
      </c>
      <c r="I561" s="4" t="s">
        <v>1408</v>
      </c>
      <c r="J561" s="4">
        <v>40.7737190208302</v>
      </c>
      <c r="K561" s="4">
        <v>0.65469500000000003</v>
      </c>
      <c r="L561" s="4" t="s">
        <v>1408</v>
      </c>
      <c r="N561" s="5" t="s">
        <v>1408</v>
      </c>
      <c r="O561" s="5">
        <v>122844</v>
      </c>
      <c r="P561" s="6" t="e">
        <v>#VALUE!</v>
      </c>
      <c r="Q561" s="1"/>
      <c r="R561" s="7" t="e">
        <f ca="1">_xll.SNL.Clients.Office.Excel.Functions.SPG(A561, "SP_TOTAL_DEBT", "LTM")</f>
        <v>#NAME?</v>
      </c>
      <c r="S561" s="8" t="e">
        <f ca="1">_xll.SNL.Clients.Office.Excel.Functions.SPG(A561, "SP_DEBT_TO_EQUITY", "LTM")</f>
        <v>#NAME?</v>
      </c>
      <c r="U561" s="9" t="e">
        <f t="shared" ca="1" si="8"/>
        <v>#VALUE!</v>
      </c>
      <c r="Y561" s="1"/>
      <c r="Z561" s="1"/>
      <c r="AA561" s="10"/>
      <c r="AB561" s="1" t="s">
        <v>1171</v>
      </c>
      <c r="AC561" s="1" t="s">
        <v>34</v>
      </c>
      <c r="AD561" s="10">
        <v>1094.99261718</v>
      </c>
      <c r="AE561" s="1" t="s">
        <v>25</v>
      </c>
    </row>
    <row r="562" spans="1:31" x14ac:dyDescent="0.2">
      <c r="A562" s="1" t="s">
        <v>1172</v>
      </c>
      <c r="B562" s="2">
        <v>4.5490000000000004</v>
      </c>
      <c r="C562" s="3">
        <v>-48.370927318295699</v>
      </c>
      <c r="D562" s="2">
        <v>40.094999999999999</v>
      </c>
      <c r="E562" s="2">
        <v>12.316354</v>
      </c>
      <c r="F562" s="4">
        <v>5.7480000000000002</v>
      </c>
      <c r="G562" s="4">
        <v>7.2068677863509496</v>
      </c>
      <c r="H562" s="2">
        <v>1.629</v>
      </c>
      <c r="I562" s="4">
        <v>0.126</v>
      </c>
      <c r="J562" s="4" t="s">
        <v>1408</v>
      </c>
      <c r="K562" s="4">
        <v>0.83783200000000002</v>
      </c>
      <c r="L562" s="4" t="s">
        <v>1408</v>
      </c>
      <c r="N562" s="5">
        <v>78407.010999999999</v>
      </c>
      <c r="O562" s="5">
        <v>22827.557000000001</v>
      </c>
      <c r="P562" s="6">
        <v>3.4347526106275845</v>
      </c>
      <c r="Q562" s="1"/>
      <c r="R562" s="7" t="e">
        <f ca="1">_xll.SNL.Clients.Office.Excel.Functions.SPG(A562, "SP_TOTAL_DEBT", "LTM")</f>
        <v>#NAME?</v>
      </c>
      <c r="S562" s="8" t="e">
        <f ca="1">_xll.SNL.Clients.Office.Excel.Functions.SPG(A562, "SP_DEBT_TO_EQUITY", "LTM")</f>
        <v>#NAME?</v>
      </c>
      <c r="U562" s="9" t="e">
        <f t="shared" ca="1" si="8"/>
        <v>#NAME?</v>
      </c>
      <c r="Y562" s="1"/>
      <c r="Z562" s="1"/>
      <c r="AA562" s="10"/>
      <c r="AB562" s="1" t="s">
        <v>1173</v>
      </c>
      <c r="AC562" s="1" t="s">
        <v>363</v>
      </c>
      <c r="AD562" s="10">
        <v>315.94143464000001</v>
      </c>
      <c r="AE562" s="1" t="s">
        <v>25</v>
      </c>
    </row>
    <row r="563" spans="1:31" x14ac:dyDescent="0.2">
      <c r="A563" s="1" t="s">
        <v>1174</v>
      </c>
      <c r="B563" s="2" t="s">
        <v>1408</v>
      </c>
      <c r="C563" s="3" t="s">
        <v>1408</v>
      </c>
      <c r="D563" s="2">
        <v>34.533999999999999</v>
      </c>
      <c r="E563" s="2">
        <v>8.4124979999999994</v>
      </c>
      <c r="F563" s="4">
        <v>2.7370000000000001</v>
      </c>
      <c r="G563" s="4">
        <v>14.794179329820301</v>
      </c>
      <c r="H563" s="2" t="s">
        <v>1408</v>
      </c>
      <c r="I563" s="4" t="s">
        <v>1408</v>
      </c>
      <c r="J563" s="4">
        <v>45.867761643937101</v>
      </c>
      <c r="K563" s="4">
        <v>1.145316</v>
      </c>
      <c r="L563" s="4" t="s">
        <v>1408</v>
      </c>
      <c r="N563" s="5" t="s">
        <v>1408</v>
      </c>
      <c r="O563" s="5">
        <v>17228629</v>
      </c>
      <c r="P563" s="6" t="e">
        <v>#VALUE!</v>
      </c>
      <c r="Q563" s="1"/>
      <c r="R563" s="7" t="e">
        <f ca="1">_xll.SNL.Clients.Office.Excel.Functions.SPG(A563, "SP_TOTAL_DEBT", "LTM")</f>
        <v>#NAME?</v>
      </c>
      <c r="S563" s="8" t="e">
        <f ca="1">_xll.SNL.Clients.Office.Excel.Functions.SPG(A563, "SP_DEBT_TO_EQUITY", "LTM")</f>
        <v>#NAME?</v>
      </c>
      <c r="U563" s="9" t="e">
        <f t="shared" ca="1" si="8"/>
        <v>#VALUE!</v>
      </c>
      <c r="Y563" s="1"/>
      <c r="Z563" s="1"/>
      <c r="AA563" s="10"/>
      <c r="AB563" s="1" t="s">
        <v>1175</v>
      </c>
      <c r="AC563" s="1" t="s">
        <v>34</v>
      </c>
      <c r="AD563" s="10">
        <v>851.90211743738803</v>
      </c>
      <c r="AE563" s="1" t="s">
        <v>42</v>
      </c>
    </row>
    <row r="564" spans="1:31" x14ac:dyDescent="0.2">
      <c r="A564" s="1" t="s">
        <v>1176</v>
      </c>
      <c r="B564" s="2" t="s">
        <v>1408</v>
      </c>
      <c r="C564" s="3" t="s">
        <v>1408</v>
      </c>
      <c r="D564" s="2">
        <v>0.34399999999999997</v>
      </c>
      <c r="E564" s="2" t="s">
        <v>1408</v>
      </c>
      <c r="F564" s="4">
        <v>0.90700000000000003</v>
      </c>
      <c r="G564" s="4">
        <v>12.364056484384699</v>
      </c>
      <c r="H564" s="2" t="s">
        <v>1408</v>
      </c>
      <c r="I564" s="4" t="s">
        <v>1408</v>
      </c>
      <c r="J564" s="4">
        <v>31.1221150342949</v>
      </c>
      <c r="K564" s="4">
        <v>1.071164</v>
      </c>
      <c r="L564" s="4" t="s">
        <v>1408</v>
      </c>
      <c r="N564" s="5" t="s">
        <v>1408</v>
      </c>
      <c r="O564" s="5">
        <v>416565</v>
      </c>
      <c r="P564" s="6" t="e">
        <v>#VALUE!</v>
      </c>
      <c r="Q564" s="1"/>
      <c r="R564" s="7" t="e">
        <f ca="1">_xll.SNL.Clients.Office.Excel.Functions.SPG(A564, "SP_TOTAL_DEBT", "LTM")</f>
        <v>#NAME?</v>
      </c>
      <c r="S564" s="8" t="e">
        <f ca="1">_xll.SNL.Clients.Office.Excel.Functions.SPG(A564, "SP_DEBT_TO_EQUITY", "LTM")</f>
        <v>#NAME?</v>
      </c>
      <c r="U564" s="9" t="e">
        <f t="shared" ca="1" si="8"/>
        <v>#VALUE!</v>
      </c>
      <c r="Y564" s="1"/>
      <c r="Z564" s="1"/>
      <c r="AA564" s="10"/>
      <c r="AB564" s="1" t="s">
        <v>1177</v>
      </c>
      <c r="AC564" s="1" t="s">
        <v>34</v>
      </c>
      <c r="AD564" s="10">
        <v>3880.5741326791299</v>
      </c>
      <c r="AE564" s="1" t="s">
        <v>42</v>
      </c>
    </row>
    <row r="565" spans="1:31" x14ac:dyDescent="0.2">
      <c r="A565" s="1" t="s">
        <v>1178</v>
      </c>
      <c r="B565" s="2" t="s">
        <v>1408</v>
      </c>
      <c r="C565" s="3">
        <v>36.142538820250898</v>
      </c>
      <c r="D565" s="2">
        <v>18.373999999999999</v>
      </c>
      <c r="E565" s="2">
        <v>10.041397</v>
      </c>
      <c r="F565" s="4">
        <v>1.347</v>
      </c>
      <c r="G565" s="4">
        <v>13.684190713274999</v>
      </c>
      <c r="H565" s="2" t="s">
        <v>1408</v>
      </c>
      <c r="I565" s="4" t="s">
        <v>1408</v>
      </c>
      <c r="J565" s="4">
        <v>30.118315873510301</v>
      </c>
      <c r="K565" s="4">
        <v>0.86364300000000005</v>
      </c>
      <c r="L565" s="4" t="s">
        <v>1408</v>
      </c>
      <c r="N565" s="5" t="s">
        <v>1408</v>
      </c>
      <c r="O565" s="5">
        <v>1033650</v>
      </c>
      <c r="P565" s="6" t="e">
        <v>#VALUE!</v>
      </c>
      <c r="Q565" s="1"/>
      <c r="R565" s="7" t="e">
        <f ca="1">_xll.SNL.Clients.Office.Excel.Functions.SPG(A565, "SP_TOTAL_DEBT", "LTM")</f>
        <v>#NAME?</v>
      </c>
      <c r="S565" s="8" t="e">
        <f ca="1">_xll.SNL.Clients.Office.Excel.Functions.SPG(A565, "SP_DEBT_TO_EQUITY", "LTM")</f>
        <v>#NAME?</v>
      </c>
      <c r="U565" s="9" t="e">
        <f t="shared" ca="1" si="8"/>
        <v>#VALUE!</v>
      </c>
      <c r="Y565" s="1"/>
      <c r="Z565" s="1"/>
      <c r="AA565" s="10"/>
      <c r="AB565" s="1" t="s">
        <v>1179</v>
      </c>
      <c r="AC565" s="1" t="s">
        <v>34</v>
      </c>
      <c r="AD565" s="10">
        <v>2660.9167415588499</v>
      </c>
      <c r="AE565" s="1" t="s">
        <v>42</v>
      </c>
    </row>
    <row r="566" spans="1:31" x14ac:dyDescent="0.2">
      <c r="A566" s="1" t="s">
        <v>1180</v>
      </c>
      <c r="B566" s="2" t="s">
        <v>1408</v>
      </c>
      <c r="C566" s="3" t="s">
        <v>1408</v>
      </c>
      <c r="D566" s="2">
        <v>2.4239999999999999</v>
      </c>
      <c r="E566" s="2">
        <v>17.365410000000001</v>
      </c>
      <c r="F566" s="4">
        <v>2.3490000000000002</v>
      </c>
      <c r="G566" s="4">
        <v>15.4550455794549</v>
      </c>
      <c r="H566" s="2" t="s">
        <v>1408</v>
      </c>
      <c r="I566" s="4" t="s">
        <v>1408</v>
      </c>
      <c r="J566" s="4">
        <v>52.744538411148802</v>
      </c>
      <c r="K566" s="4">
        <v>2.634029</v>
      </c>
      <c r="L566" s="4" t="s">
        <v>1408</v>
      </c>
      <c r="N566" s="5" t="s">
        <v>1408</v>
      </c>
      <c r="O566" s="5">
        <v>677991</v>
      </c>
      <c r="P566" s="6" t="e">
        <v>#VALUE!</v>
      </c>
      <c r="Q566" s="1"/>
      <c r="R566" s="7" t="e">
        <f ca="1">_xll.SNL.Clients.Office.Excel.Functions.SPG(A566, "SP_TOTAL_DEBT", "LTM")</f>
        <v>#NAME?</v>
      </c>
      <c r="S566" s="8" t="e">
        <f ca="1">_xll.SNL.Clients.Office.Excel.Functions.SPG(A566, "SP_DEBT_TO_EQUITY", "LTM")</f>
        <v>#NAME?</v>
      </c>
      <c r="U566" s="9" t="e">
        <f t="shared" ca="1" si="8"/>
        <v>#VALUE!</v>
      </c>
      <c r="Y566" s="1"/>
      <c r="Z566" s="1"/>
      <c r="AA566" s="10"/>
      <c r="AB566" s="1" t="s">
        <v>1181</v>
      </c>
      <c r="AC566" s="1" t="s">
        <v>34</v>
      </c>
      <c r="AD566" s="10">
        <v>1795.0673732780499</v>
      </c>
      <c r="AE566" s="1" t="s">
        <v>42</v>
      </c>
    </row>
    <row r="567" spans="1:31" x14ac:dyDescent="0.2">
      <c r="A567" s="1" t="s">
        <v>1182</v>
      </c>
      <c r="B567" s="2">
        <v>7.827</v>
      </c>
      <c r="C567" s="3" t="s">
        <v>1408</v>
      </c>
      <c r="D567" s="2" t="s">
        <v>1408</v>
      </c>
      <c r="E567" s="2">
        <v>30.811593999999999</v>
      </c>
      <c r="F567" s="4" t="s">
        <v>1408</v>
      </c>
      <c r="G567" s="4" t="s">
        <v>1408</v>
      </c>
      <c r="H567" s="2">
        <v>1.343</v>
      </c>
      <c r="I567" s="4" t="s">
        <v>1408</v>
      </c>
      <c r="J567" s="4" t="s">
        <v>1408</v>
      </c>
      <c r="K567" s="4" t="s">
        <v>1409</v>
      </c>
      <c r="L567" s="4" t="s">
        <v>1408</v>
      </c>
      <c r="N567" s="5" t="s">
        <v>1408</v>
      </c>
      <c r="O567" s="5">
        <v>32314.800999999999</v>
      </c>
      <c r="P567" s="6" t="e">
        <v>#VALUE!</v>
      </c>
      <c r="Q567" s="1"/>
      <c r="R567" s="7" t="e">
        <f ca="1">_xll.SNL.Clients.Office.Excel.Functions.SPG(A567, "SP_TOTAL_DEBT", "LTM")</f>
        <v>#NAME?</v>
      </c>
      <c r="S567" s="8" t="e">
        <f ca="1">_xll.SNL.Clients.Office.Excel.Functions.SPG(A567, "SP_DEBT_TO_EQUITY", "LTM")</f>
        <v>#NAME?</v>
      </c>
      <c r="U567" s="9" t="e">
        <f t="shared" ca="1" si="8"/>
        <v>#VALUE!</v>
      </c>
      <c r="Y567" s="1"/>
      <c r="Z567" s="1"/>
      <c r="AA567" s="10"/>
      <c r="AB567" s="1" t="s">
        <v>1183</v>
      </c>
      <c r="AC567" s="1" t="s">
        <v>37</v>
      </c>
      <c r="AD567" s="10">
        <v>995.625</v>
      </c>
      <c r="AE567" s="1" t="s">
        <v>25</v>
      </c>
    </row>
    <row r="568" spans="1:31" x14ac:dyDescent="0.2">
      <c r="A568" s="1" t="s">
        <v>1184</v>
      </c>
      <c r="B568" s="2" t="s">
        <v>1408</v>
      </c>
      <c r="C568" s="3">
        <v>-25.903614457831299</v>
      </c>
      <c r="D568" s="2">
        <v>30.488</v>
      </c>
      <c r="E568" s="2">
        <v>19.699186999999998</v>
      </c>
      <c r="F568" s="4">
        <v>0.77900000000000003</v>
      </c>
      <c r="G568" s="4">
        <v>5.1364631462114296</v>
      </c>
      <c r="H568" s="2" t="s">
        <v>1408</v>
      </c>
      <c r="I568" s="4" t="s">
        <v>1408</v>
      </c>
      <c r="J568" s="4">
        <v>30.5147421185283</v>
      </c>
      <c r="K568" s="4">
        <v>0.96923899999999996</v>
      </c>
      <c r="L568" s="4" t="s">
        <v>1408</v>
      </c>
      <c r="N568" s="5" t="s">
        <v>1408</v>
      </c>
      <c r="O568" s="5">
        <v>104033</v>
      </c>
      <c r="P568" s="6" t="e">
        <v>#VALUE!</v>
      </c>
      <c r="Q568" s="1"/>
      <c r="R568" s="7" t="e">
        <f ca="1">_xll.SNL.Clients.Office.Excel.Functions.SPG(A568, "SP_TOTAL_DEBT", "LTM")</f>
        <v>#NAME?</v>
      </c>
      <c r="S568" s="8" t="e">
        <f ca="1">_xll.SNL.Clients.Office.Excel.Functions.SPG(A568, "SP_DEBT_TO_EQUITY", "LTM")</f>
        <v>#NAME?</v>
      </c>
      <c r="U568" s="9" t="e">
        <f t="shared" ca="1" si="8"/>
        <v>#VALUE!</v>
      </c>
      <c r="Y568" s="1"/>
      <c r="Z568" s="1"/>
      <c r="AA568" s="10"/>
      <c r="AB568" s="1" t="s">
        <v>1185</v>
      </c>
      <c r="AC568" s="1" t="s">
        <v>34</v>
      </c>
      <c r="AD568" s="10">
        <v>2071.0889259999999</v>
      </c>
      <c r="AE568" s="1" t="s">
        <v>25</v>
      </c>
    </row>
    <row r="569" spans="1:31" x14ac:dyDescent="0.2">
      <c r="A569" s="1" t="s">
        <v>1186</v>
      </c>
      <c r="B569" s="2">
        <v>12.817</v>
      </c>
      <c r="C569" s="3">
        <v>0</v>
      </c>
      <c r="D569" s="2">
        <v>-3.5779999999999998</v>
      </c>
      <c r="E569" s="2">
        <v>18.991329</v>
      </c>
      <c r="F569" s="4">
        <v>10.821999999999999</v>
      </c>
      <c r="G569" s="4">
        <v>22.646955868228101</v>
      </c>
      <c r="H569" s="2">
        <v>4.1870000000000003</v>
      </c>
      <c r="I569" s="4">
        <v>0.78300000000000003</v>
      </c>
      <c r="J569" s="4" t="s">
        <v>1408</v>
      </c>
      <c r="K569" s="4">
        <v>4.0434429999999999</v>
      </c>
      <c r="L569" s="4">
        <v>11.69604</v>
      </c>
      <c r="N569" s="5" t="s">
        <v>1408</v>
      </c>
      <c r="O569" s="5">
        <v>462258</v>
      </c>
      <c r="P569" s="6" t="e">
        <v>#VALUE!</v>
      </c>
      <c r="Q569" s="1"/>
      <c r="R569" s="7" t="e">
        <f ca="1">_xll.SNL.Clients.Office.Excel.Functions.SPG(A569, "SP_TOTAL_DEBT", "LTM")</f>
        <v>#NAME?</v>
      </c>
      <c r="S569" s="8" t="e">
        <f ca="1">_xll.SNL.Clients.Office.Excel.Functions.SPG(A569, "SP_DEBT_TO_EQUITY", "LTM")</f>
        <v>#NAME?</v>
      </c>
      <c r="U569" s="9" t="e">
        <f t="shared" ca="1" si="8"/>
        <v>#VALUE!</v>
      </c>
      <c r="Y569" s="1"/>
      <c r="Z569" s="1"/>
      <c r="AA569" s="10"/>
      <c r="AB569" s="1" t="s">
        <v>1187</v>
      </c>
      <c r="AC569" s="1" t="s">
        <v>37</v>
      </c>
      <c r="AD569" s="10">
        <v>8295.6967199999999</v>
      </c>
      <c r="AE569" s="1" t="s">
        <v>25</v>
      </c>
    </row>
    <row r="570" spans="1:31" x14ac:dyDescent="0.2">
      <c r="A570" s="1" t="s">
        <v>1188</v>
      </c>
      <c r="B570" s="2">
        <v>9.3190000000000008</v>
      </c>
      <c r="C570" s="3">
        <v>64.971751412429398</v>
      </c>
      <c r="D570" s="2">
        <v>18.943999999999999</v>
      </c>
      <c r="E570" s="2">
        <v>16.900274</v>
      </c>
      <c r="F570" s="4">
        <v>2.694</v>
      </c>
      <c r="G570" s="4">
        <v>13.6189877478522</v>
      </c>
      <c r="H570" s="2">
        <v>0.32900000000000001</v>
      </c>
      <c r="I570" s="4">
        <v>0.374</v>
      </c>
      <c r="J570" s="4" t="s">
        <v>1408</v>
      </c>
      <c r="K570" s="4">
        <v>2.1699820000000001</v>
      </c>
      <c r="L570" s="4">
        <v>12.883861</v>
      </c>
      <c r="N570" s="5" t="s">
        <v>1408</v>
      </c>
      <c r="O570" s="5">
        <v>365200</v>
      </c>
      <c r="P570" s="6" t="e">
        <v>#VALUE!</v>
      </c>
      <c r="Q570" s="1"/>
      <c r="R570" s="7" t="e">
        <f ca="1">_xll.SNL.Clients.Office.Excel.Functions.SPG(A570, "SP_TOTAL_DEBT", "LTM")</f>
        <v>#NAME?</v>
      </c>
      <c r="S570" s="8" t="e">
        <f ca="1">_xll.SNL.Clients.Office.Excel.Functions.SPG(A570, "SP_DEBT_TO_EQUITY", "LTM")</f>
        <v>#NAME?</v>
      </c>
      <c r="U570" s="9" t="e">
        <f t="shared" ca="1" si="8"/>
        <v>#VALUE!</v>
      </c>
      <c r="Y570" s="1"/>
      <c r="Z570" s="1"/>
      <c r="AA570" s="10"/>
      <c r="AB570" s="1" t="s">
        <v>1189</v>
      </c>
      <c r="AC570" s="1" t="s">
        <v>95</v>
      </c>
      <c r="AD570" s="10">
        <v>6353.3094808400001</v>
      </c>
      <c r="AE570" s="1" t="s">
        <v>25</v>
      </c>
    </row>
    <row r="571" spans="1:31" x14ac:dyDescent="0.2">
      <c r="A571" s="1" t="s">
        <v>1190</v>
      </c>
      <c r="B571" s="2">
        <v>-18.449000000000002</v>
      </c>
      <c r="C571" s="3" t="s">
        <v>1408</v>
      </c>
      <c r="D571" s="2" t="s">
        <v>1409</v>
      </c>
      <c r="E571" s="2">
        <v>5.2081629999999999</v>
      </c>
      <c r="F571" s="4">
        <v>6.6210000000000004</v>
      </c>
      <c r="G571" s="4" t="s">
        <v>1408</v>
      </c>
      <c r="H571" s="2">
        <v>1.3540000000000001</v>
      </c>
      <c r="I571" s="4">
        <v>0.12</v>
      </c>
      <c r="J571" s="4" t="s">
        <v>1408</v>
      </c>
      <c r="K571" s="4">
        <v>0.50256400000000001</v>
      </c>
      <c r="L571" s="4" t="s">
        <v>1409</v>
      </c>
      <c r="N571" s="5">
        <v>419004.25</v>
      </c>
      <c r="O571" s="5">
        <v>152353</v>
      </c>
      <c r="P571" s="6">
        <v>2.750219884084987</v>
      </c>
      <c r="Q571" s="1"/>
      <c r="R571" s="7" t="e">
        <f ca="1">_xll.SNL.Clients.Office.Excel.Functions.SPG(A571, "SP_TOTAL_DEBT", "LTM")</f>
        <v>#NAME?</v>
      </c>
      <c r="S571" s="8" t="e">
        <f ca="1">_xll.SNL.Clients.Office.Excel.Functions.SPG(A571, "SP_DEBT_TO_EQUITY", "LTM")</f>
        <v>#NAME?</v>
      </c>
      <c r="U571" s="9" t="e">
        <f t="shared" ca="1" si="8"/>
        <v>#NAME?</v>
      </c>
      <c r="Y571" s="1"/>
      <c r="Z571" s="1"/>
      <c r="AA571" s="10"/>
      <c r="AB571" s="1" t="s">
        <v>1191</v>
      </c>
      <c r="AC571" s="1" t="s">
        <v>37</v>
      </c>
      <c r="AD571" s="10">
        <v>585.83968373158098</v>
      </c>
      <c r="AE571" s="1" t="s">
        <v>25</v>
      </c>
    </row>
    <row r="572" spans="1:31" x14ac:dyDescent="0.2">
      <c r="A572" s="1" t="s">
        <v>1192</v>
      </c>
      <c r="B572" s="2" t="s">
        <v>1408</v>
      </c>
      <c r="C572" s="3">
        <v>-17.7874186550976</v>
      </c>
      <c r="D572" s="2">
        <v>-7.0090000000000003</v>
      </c>
      <c r="E572" s="2">
        <v>15.926121</v>
      </c>
      <c r="F572" s="4">
        <v>1.3460000000000001</v>
      </c>
      <c r="G572" s="4">
        <v>15.138356423535599</v>
      </c>
      <c r="H572" s="2" t="s">
        <v>1408</v>
      </c>
      <c r="I572" s="4" t="s">
        <v>1408</v>
      </c>
      <c r="J572" s="4">
        <v>57.696883286715803</v>
      </c>
      <c r="K572" s="4">
        <v>2.282991</v>
      </c>
      <c r="L572" s="4" t="s">
        <v>1408</v>
      </c>
      <c r="N572" s="5" t="s">
        <v>1408</v>
      </c>
      <c r="O572" s="5">
        <v>206853</v>
      </c>
      <c r="P572" s="6" t="e">
        <v>#VALUE!</v>
      </c>
      <c r="Q572" s="1"/>
      <c r="R572" s="7" t="e">
        <f ca="1">_xll.SNL.Clients.Office.Excel.Functions.SPG(A572, "SP_TOTAL_DEBT", "LTM")</f>
        <v>#NAME?</v>
      </c>
      <c r="S572" s="8" t="e">
        <f ca="1">_xll.SNL.Clients.Office.Excel.Functions.SPG(A572, "SP_DEBT_TO_EQUITY", "LTM")</f>
        <v>#NAME?</v>
      </c>
      <c r="U572" s="9" t="e">
        <f t="shared" ca="1" si="8"/>
        <v>#VALUE!</v>
      </c>
      <c r="Y572" s="1"/>
      <c r="Z572" s="1"/>
      <c r="AA572" s="10"/>
      <c r="AB572" s="1" t="s">
        <v>1193</v>
      </c>
      <c r="AC572" s="1" t="s">
        <v>34</v>
      </c>
      <c r="AD572" s="10">
        <v>3656.5504811999999</v>
      </c>
      <c r="AE572" s="1" t="s">
        <v>25</v>
      </c>
    </row>
    <row r="573" spans="1:31" x14ac:dyDescent="0.2">
      <c r="A573" s="1" t="s">
        <v>1194</v>
      </c>
      <c r="B573" s="2">
        <v>2.343</v>
      </c>
      <c r="C573" s="3" t="s">
        <v>1408</v>
      </c>
      <c r="D573" s="2">
        <v>45.783999999999999</v>
      </c>
      <c r="E573" s="2">
        <v>44.825301000000003</v>
      </c>
      <c r="F573" s="4">
        <v>3.6869999999999998</v>
      </c>
      <c r="G573" s="4" t="s">
        <v>1408</v>
      </c>
      <c r="H573" s="2">
        <v>3.3180000000000001</v>
      </c>
      <c r="I573" s="4">
        <v>0.93400000000000005</v>
      </c>
      <c r="J573" s="4" t="s">
        <v>1408</v>
      </c>
      <c r="K573" s="4">
        <v>10.840617999999999</v>
      </c>
      <c r="L573" s="4">
        <v>16.369194</v>
      </c>
      <c r="N573" s="5">
        <v>167987.5</v>
      </c>
      <c r="O573" s="5">
        <v>142200</v>
      </c>
      <c r="P573" s="6">
        <v>1.1813466947960618</v>
      </c>
      <c r="Q573" s="1"/>
      <c r="R573" s="7" t="e">
        <f ca="1">_xll.SNL.Clients.Office.Excel.Functions.SPG(A573, "SP_TOTAL_DEBT", "LTM")</f>
        <v>#NAME?</v>
      </c>
      <c r="S573" s="8" t="e">
        <f ca="1">_xll.SNL.Clients.Office.Excel.Functions.SPG(A573, "SP_DEBT_TO_EQUITY", "LTM")</f>
        <v>#NAME?</v>
      </c>
      <c r="U573" s="9" t="e">
        <f t="shared" ca="1" si="8"/>
        <v>#NAME?</v>
      </c>
      <c r="Y573" s="1"/>
      <c r="Z573" s="1"/>
      <c r="AA573" s="10"/>
      <c r="AB573" s="1" t="s">
        <v>1195</v>
      </c>
      <c r="AC573" s="1" t="s">
        <v>57</v>
      </c>
      <c r="AD573" s="10">
        <v>4208.2471766299996</v>
      </c>
      <c r="AE573" s="1" t="s">
        <v>25</v>
      </c>
    </row>
    <row r="574" spans="1:31" x14ac:dyDescent="0.2">
      <c r="A574" s="1" t="s">
        <v>1196</v>
      </c>
      <c r="B574" s="2" t="s">
        <v>1408</v>
      </c>
      <c r="C574" s="3">
        <v>-73.248407643312106</v>
      </c>
      <c r="D574" s="2">
        <v>5.0910000000000002</v>
      </c>
      <c r="E574" s="2">
        <v>26.428571000000002</v>
      </c>
      <c r="F574" s="4">
        <v>0.23699999999999999</v>
      </c>
      <c r="G574" s="4">
        <v>2.5414789832273299</v>
      </c>
      <c r="H574" s="2" t="s">
        <v>1408</v>
      </c>
      <c r="I574" s="4" t="s">
        <v>1408</v>
      </c>
      <c r="J574" s="4" t="s">
        <v>1408</v>
      </c>
      <c r="K574" s="4">
        <v>0.72017100000000001</v>
      </c>
      <c r="L574" s="4" t="s">
        <v>1408</v>
      </c>
      <c r="N574" s="5" t="s">
        <v>1408</v>
      </c>
      <c r="O574" s="5">
        <v>11228</v>
      </c>
      <c r="P574" s="6" t="e">
        <v>#VALUE!</v>
      </c>
      <c r="Q574" s="1"/>
      <c r="R574" s="7" t="e">
        <f ca="1">_xll.SNL.Clients.Office.Excel.Functions.SPG(A574, "SP_TOTAL_DEBT", "LTM")</f>
        <v>#NAME?</v>
      </c>
      <c r="S574" s="8" t="e">
        <f ca="1">_xll.SNL.Clients.Office.Excel.Functions.SPG(A574, "SP_DEBT_TO_EQUITY", "LTM")</f>
        <v>#NAME?</v>
      </c>
      <c r="U574" s="9" t="e">
        <f t="shared" ca="1" si="8"/>
        <v>#VALUE!</v>
      </c>
      <c r="Y574" s="1"/>
      <c r="Z574" s="1"/>
      <c r="AA574" s="10"/>
      <c r="AB574" s="1" t="s">
        <v>1197</v>
      </c>
      <c r="AC574" s="1" t="s">
        <v>34</v>
      </c>
      <c r="AD574" s="10">
        <v>429.11628000000002</v>
      </c>
      <c r="AE574" s="1" t="s">
        <v>25</v>
      </c>
    </row>
    <row r="575" spans="1:31" x14ac:dyDescent="0.2">
      <c r="A575" s="1" t="s">
        <v>1198</v>
      </c>
      <c r="B575" s="2" t="s">
        <v>1408</v>
      </c>
      <c r="C575" s="3">
        <v>5.3571428571428399</v>
      </c>
      <c r="D575" s="2">
        <v>7.2510000000000003</v>
      </c>
      <c r="E575" s="2">
        <v>7.9364410000000003</v>
      </c>
      <c r="F575" s="4">
        <v>0.95</v>
      </c>
      <c r="G575" s="4">
        <v>11.2953838174274</v>
      </c>
      <c r="H575" s="2" t="s">
        <v>1408</v>
      </c>
      <c r="I575" s="4" t="s">
        <v>1408</v>
      </c>
      <c r="J575" s="4" t="s">
        <v>1408</v>
      </c>
      <c r="K575" s="4">
        <v>0.80977100000000002</v>
      </c>
      <c r="L575" s="4" t="s">
        <v>1408</v>
      </c>
      <c r="N575" s="5" t="s">
        <v>1408</v>
      </c>
      <c r="O575" s="5">
        <v>34844</v>
      </c>
      <c r="P575" s="6" t="e">
        <v>#VALUE!</v>
      </c>
      <c r="Q575" s="1"/>
      <c r="R575" s="7" t="e">
        <f ca="1">_xll.SNL.Clients.Office.Excel.Functions.SPG(A575, "SP_TOTAL_DEBT", "LTM")</f>
        <v>#NAME?</v>
      </c>
      <c r="S575" s="8" t="e">
        <f ca="1">_xll.SNL.Clients.Office.Excel.Functions.SPG(A575, "SP_DEBT_TO_EQUITY", "LTM")</f>
        <v>#NAME?</v>
      </c>
      <c r="U575" s="9" t="e">
        <f t="shared" ca="1" si="8"/>
        <v>#VALUE!</v>
      </c>
      <c r="Y575" s="1"/>
      <c r="Z575" s="1"/>
      <c r="AA575" s="10"/>
      <c r="AB575" s="1" t="s">
        <v>1199</v>
      </c>
      <c r="AC575" s="1" t="s">
        <v>34</v>
      </c>
      <c r="AD575" s="10">
        <v>303.30980499999998</v>
      </c>
      <c r="AE575" s="1" t="s">
        <v>25</v>
      </c>
    </row>
    <row r="576" spans="1:31" x14ac:dyDescent="0.2">
      <c r="A576" s="1" t="s">
        <v>1200</v>
      </c>
      <c r="B576" s="2" t="s">
        <v>1408</v>
      </c>
      <c r="C576" s="3">
        <v>-33.009708737864102</v>
      </c>
      <c r="D576" s="2">
        <v>6.5839999999999996</v>
      </c>
      <c r="E576" s="2">
        <v>9.7237270000000002</v>
      </c>
      <c r="F576" s="4" t="s">
        <v>1408</v>
      </c>
      <c r="G576" s="4">
        <v>5.2110967960106098</v>
      </c>
      <c r="H576" s="2" t="s">
        <v>1408</v>
      </c>
      <c r="I576" s="4" t="s">
        <v>1408</v>
      </c>
      <c r="J576" s="4">
        <v>28.966563032115399</v>
      </c>
      <c r="K576" s="4" t="s">
        <v>1408</v>
      </c>
      <c r="L576" s="4" t="s">
        <v>1408</v>
      </c>
      <c r="N576" s="5" t="s">
        <v>1408</v>
      </c>
      <c r="O576" s="5">
        <v>175057</v>
      </c>
      <c r="P576" s="6" t="e">
        <v>#VALUE!</v>
      </c>
      <c r="Q576" s="1"/>
      <c r="R576" s="7" t="e">
        <f ca="1">_xll.SNL.Clients.Office.Excel.Functions.SPG(A576, "SP_TOTAL_DEBT", "LTM")</f>
        <v>#NAME?</v>
      </c>
      <c r="S576" s="8" t="e">
        <f ca="1">_xll.SNL.Clients.Office.Excel.Functions.SPG(A576, "SP_DEBT_TO_EQUITY", "LTM")</f>
        <v>#NAME?</v>
      </c>
      <c r="U576" s="9" t="e">
        <f t="shared" ca="1" si="8"/>
        <v>#VALUE!</v>
      </c>
      <c r="Y576" s="1"/>
      <c r="Z576" s="1"/>
      <c r="AA576" s="10"/>
      <c r="AB576" s="1" t="s">
        <v>1201</v>
      </c>
      <c r="AC576" s="1" t="s">
        <v>34</v>
      </c>
      <c r="AD576" s="10">
        <v>2379.7501021899998</v>
      </c>
      <c r="AE576" s="1" t="s">
        <v>25</v>
      </c>
    </row>
    <row r="577" spans="1:31" x14ac:dyDescent="0.2">
      <c r="A577" s="1" t="s">
        <v>1202</v>
      </c>
      <c r="B577" s="2">
        <v>-8.3870000000000005</v>
      </c>
      <c r="C577" s="3" t="s">
        <v>1409</v>
      </c>
      <c r="D577" s="2">
        <v>-1.1599999999999999</v>
      </c>
      <c r="E577" s="2">
        <v>9.5562860000000001</v>
      </c>
      <c r="F577" s="4">
        <v>2.34</v>
      </c>
      <c r="G577" s="4">
        <v>-17.35348165465</v>
      </c>
      <c r="H577" s="2">
        <v>1.8420000000000001</v>
      </c>
      <c r="I577" s="4">
        <v>0.23400000000000001</v>
      </c>
      <c r="J577" s="4" t="s">
        <v>1408</v>
      </c>
      <c r="K577" s="4">
        <v>0.93646799999999997</v>
      </c>
      <c r="L577" s="4">
        <v>4.8080439999999998</v>
      </c>
      <c r="N577" s="5">
        <v>2718600</v>
      </c>
      <c r="O577" s="5">
        <v>241000</v>
      </c>
      <c r="P577" s="6">
        <v>11.280497925311204</v>
      </c>
      <c r="Q577" s="1"/>
      <c r="R577" s="7" t="e">
        <f ca="1">_xll.SNL.Clients.Office.Excel.Functions.SPG(A577, "SP_TOTAL_DEBT", "LTM")</f>
        <v>#NAME?</v>
      </c>
      <c r="S577" s="8" t="e">
        <f ca="1">_xll.SNL.Clients.Office.Excel.Functions.SPG(A577, "SP_DEBT_TO_EQUITY", "LTM")</f>
        <v>#NAME?</v>
      </c>
      <c r="U577" s="9" t="e">
        <f t="shared" ca="1" si="8"/>
        <v>#NAME?</v>
      </c>
      <c r="Y577" s="1"/>
      <c r="Z577" s="1"/>
      <c r="AA577" s="10"/>
      <c r="AB577" s="1" t="s">
        <v>1203</v>
      </c>
      <c r="AC577" s="1" t="s">
        <v>324</v>
      </c>
      <c r="AD577" s="10">
        <v>1977.4462774000001</v>
      </c>
      <c r="AE577" s="1" t="s">
        <v>25</v>
      </c>
    </row>
    <row r="578" spans="1:31" x14ac:dyDescent="0.2">
      <c r="A578" s="1" t="s">
        <v>1204</v>
      </c>
      <c r="B578" s="2">
        <v>6.2469999999999999</v>
      </c>
      <c r="C578" s="3" t="s">
        <v>1408</v>
      </c>
      <c r="D578" s="2">
        <v>17.853000000000002</v>
      </c>
      <c r="E578" s="2">
        <v>14.414414000000001</v>
      </c>
      <c r="F578" s="4">
        <v>2.6139999999999999</v>
      </c>
      <c r="G578" s="4">
        <v>9.42536518026645</v>
      </c>
      <c r="H578" s="2">
        <v>1.5549999999999999</v>
      </c>
      <c r="I578" s="4">
        <v>0.32100000000000001</v>
      </c>
      <c r="J578" s="4" t="s">
        <v>1408</v>
      </c>
      <c r="K578" s="4">
        <v>2.139338</v>
      </c>
      <c r="L578" s="4">
        <v>11.464387</v>
      </c>
      <c r="N578" s="5">
        <v>88191.25</v>
      </c>
      <c r="O578" s="5">
        <v>77138</v>
      </c>
      <c r="P578" s="6">
        <v>1.1432918924524877</v>
      </c>
      <c r="Q578" s="1"/>
      <c r="R578" s="7" t="e">
        <f ca="1">_xll.SNL.Clients.Office.Excel.Functions.SPG(A578, "SP_TOTAL_DEBT", "LTM")</f>
        <v>#NAME?</v>
      </c>
      <c r="S578" s="8" t="e">
        <f ca="1">_xll.SNL.Clients.Office.Excel.Functions.SPG(A578, "SP_DEBT_TO_EQUITY", "LTM")</f>
        <v>#NAME?</v>
      </c>
      <c r="U578" s="9" t="e">
        <f t="shared" ca="1" si="8"/>
        <v>#NAME?</v>
      </c>
      <c r="Y578" s="1"/>
      <c r="Z578" s="1"/>
      <c r="AA578" s="10"/>
      <c r="AB578" s="1" t="s">
        <v>1205</v>
      </c>
      <c r="AC578" s="1" t="s">
        <v>95</v>
      </c>
      <c r="AD578" s="10">
        <v>1238.6359031</v>
      </c>
      <c r="AE578" s="1" t="s">
        <v>25</v>
      </c>
    </row>
    <row r="579" spans="1:31" x14ac:dyDescent="0.2">
      <c r="A579" s="1" t="s">
        <v>1206</v>
      </c>
      <c r="B579" s="2" t="s">
        <v>1408</v>
      </c>
      <c r="C579" s="3">
        <v>36.931818181818201</v>
      </c>
      <c r="D579" s="2">
        <v>23.016999999999999</v>
      </c>
      <c r="E579" s="2">
        <v>7.975104</v>
      </c>
      <c r="F579" s="4">
        <v>2.0049999999999999</v>
      </c>
      <c r="G579" s="4">
        <v>31.835462757572</v>
      </c>
      <c r="H579" s="2">
        <v>1.22</v>
      </c>
      <c r="I579" s="4">
        <v>0.05</v>
      </c>
      <c r="J579" s="4">
        <v>43.070829020040001</v>
      </c>
      <c r="K579" s="4">
        <v>2.5979990000000002</v>
      </c>
      <c r="L579" s="4" t="s">
        <v>1408</v>
      </c>
      <c r="N579" s="5" t="s">
        <v>1408</v>
      </c>
      <c r="O579" s="5">
        <v>581391</v>
      </c>
      <c r="P579" s="6" t="e">
        <v>#VALUE!</v>
      </c>
      <c r="Q579" s="1"/>
      <c r="R579" s="7" t="e">
        <f ca="1">_xll.SNL.Clients.Office.Excel.Functions.SPG(A579, "SP_TOTAL_DEBT", "LTM")</f>
        <v>#NAME?</v>
      </c>
      <c r="S579" s="8" t="e">
        <f ca="1">_xll.SNL.Clients.Office.Excel.Functions.SPG(A579, "SP_DEBT_TO_EQUITY", "LTM")</f>
        <v>#NAME?</v>
      </c>
      <c r="U579" s="9" t="e">
        <f t="shared" ref="U579:U642" ca="1" si="9">N579/R579</f>
        <v>#VALUE!</v>
      </c>
      <c r="Y579" s="1"/>
      <c r="Z579" s="1"/>
      <c r="AA579" s="10"/>
      <c r="AB579" s="1" t="s">
        <v>1207</v>
      </c>
      <c r="AC579" s="1" t="s">
        <v>161</v>
      </c>
      <c r="AD579" s="10">
        <v>4379.5640000000003</v>
      </c>
      <c r="AE579" s="1" t="s">
        <v>25</v>
      </c>
    </row>
    <row r="580" spans="1:31" x14ac:dyDescent="0.2">
      <c r="A580" s="1" t="s">
        <v>1208</v>
      </c>
      <c r="B580" s="2" t="s">
        <v>1408</v>
      </c>
      <c r="C580" s="3">
        <v>-33.543417366946898</v>
      </c>
      <c r="D580" s="2">
        <v>-7.3339999999999996</v>
      </c>
      <c r="E580" s="2">
        <v>12.798817</v>
      </c>
      <c r="F580" s="4">
        <v>0.60399999999999998</v>
      </c>
      <c r="G580" s="4">
        <v>6.4727181230364197</v>
      </c>
      <c r="H580" s="2" t="s">
        <v>1408</v>
      </c>
      <c r="I580" s="4" t="s">
        <v>1408</v>
      </c>
      <c r="J580" s="4">
        <v>27.519063351883698</v>
      </c>
      <c r="K580" s="4">
        <v>0.79903999999999997</v>
      </c>
      <c r="L580" s="4" t="s">
        <v>1408</v>
      </c>
      <c r="N580" s="5" t="s">
        <v>1408</v>
      </c>
      <c r="O580" s="5">
        <v>28593</v>
      </c>
      <c r="P580" s="6" t="e">
        <v>#VALUE!</v>
      </c>
      <c r="Q580" s="1"/>
      <c r="R580" s="7" t="e">
        <f ca="1">_xll.SNL.Clients.Office.Excel.Functions.SPG(A580, "SP_TOTAL_DEBT", "LTM")</f>
        <v>#NAME?</v>
      </c>
      <c r="S580" s="8" t="e">
        <f ca="1">_xll.SNL.Clients.Office.Excel.Functions.SPG(A580, "SP_DEBT_TO_EQUITY", "LTM")</f>
        <v>#NAME?</v>
      </c>
      <c r="U580" s="9" t="e">
        <f t="shared" ca="1" si="9"/>
        <v>#VALUE!</v>
      </c>
      <c r="Y580" s="1"/>
      <c r="Z580" s="1"/>
      <c r="AA580" s="10"/>
      <c r="AB580" s="1" t="s">
        <v>1209</v>
      </c>
      <c r="AC580" s="1" t="s">
        <v>34</v>
      </c>
      <c r="AD580" s="10">
        <v>395.16132554000001</v>
      </c>
      <c r="AE580" s="1" t="s">
        <v>25</v>
      </c>
    </row>
    <row r="581" spans="1:31" x14ac:dyDescent="0.2">
      <c r="A581" s="1" t="s">
        <v>1210</v>
      </c>
      <c r="B581" s="2">
        <v>-0.33200000000000002</v>
      </c>
      <c r="C581" s="3" t="s">
        <v>1408</v>
      </c>
      <c r="D581" s="2" t="s">
        <v>1408</v>
      </c>
      <c r="E581" s="2" t="s">
        <v>1408</v>
      </c>
      <c r="F581" s="4">
        <v>-7.3999999999999996E-2</v>
      </c>
      <c r="G581" s="4" t="s">
        <v>1408</v>
      </c>
      <c r="H581" s="2">
        <v>1.306</v>
      </c>
      <c r="I581" s="4" t="s">
        <v>1408</v>
      </c>
      <c r="J581" s="4" t="s">
        <v>1408</v>
      </c>
      <c r="K581" s="4">
        <v>0.84442799999999996</v>
      </c>
      <c r="L581" s="4" t="s">
        <v>1408</v>
      </c>
      <c r="N581" s="5">
        <v>141824.625</v>
      </c>
      <c r="O581" s="5">
        <v>579962</v>
      </c>
      <c r="P581" s="6">
        <v>0.24454123718450518</v>
      </c>
      <c r="Q581" s="1"/>
      <c r="R581" s="7" t="e">
        <f ca="1">_xll.SNL.Clients.Office.Excel.Functions.SPG(A581, "SP_TOTAL_DEBT", "LTM")</f>
        <v>#NAME?</v>
      </c>
      <c r="S581" s="8" t="e">
        <f ca="1">_xll.SNL.Clients.Office.Excel.Functions.SPG(A581, "SP_DEBT_TO_EQUITY", "LTM")</f>
        <v>#NAME?</v>
      </c>
      <c r="U581" s="9" t="e">
        <f t="shared" ca="1" si="9"/>
        <v>#NAME?</v>
      </c>
      <c r="Y581" s="1"/>
      <c r="Z581" s="1"/>
      <c r="AA581" s="10"/>
      <c r="AB581" s="1" t="s">
        <v>1211</v>
      </c>
      <c r="AC581" s="1" t="s">
        <v>37</v>
      </c>
      <c r="AD581" s="10">
        <v>1481.70072023852</v>
      </c>
      <c r="AE581" s="1" t="s">
        <v>42</v>
      </c>
    </row>
    <row r="582" spans="1:31" x14ac:dyDescent="0.2">
      <c r="A582" s="1" t="s">
        <v>1212</v>
      </c>
      <c r="B582" s="2">
        <v>-0.318</v>
      </c>
      <c r="C582" s="3" t="s">
        <v>1408</v>
      </c>
      <c r="D582" s="2" t="s">
        <v>1408</v>
      </c>
      <c r="E582" s="2" t="s">
        <v>1408</v>
      </c>
      <c r="F582" s="4">
        <v>1.7999999999999999E-2</v>
      </c>
      <c r="G582" s="4" t="s">
        <v>1408</v>
      </c>
      <c r="H582" s="2">
        <v>1.357</v>
      </c>
      <c r="I582" s="4" t="s">
        <v>1408</v>
      </c>
      <c r="J582" s="4" t="s">
        <v>1408</v>
      </c>
      <c r="K582" s="4" t="s">
        <v>1408</v>
      </c>
      <c r="L582" s="4" t="s">
        <v>1408</v>
      </c>
      <c r="N582" s="5">
        <v>175218.625</v>
      </c>
      <c r="O582" s="5">
        <v>587535</v>
      </c>
      <c r="P582" s="6">
        <v>0.29822670138800239</v>
      </c>
      <c r="Q582" s="1"/>
      <c r="R582" s="7" t="e">
        <f ca="1">_xll.SNL.Clients.Office.Excel.Functions.SPG(A582, "SP_TOTAL_DEBT", "LTM")</f>
        <v>#NAME?</v>
      </c>
      <c r="S582" s="8" t="e">
        <f ca="1">_xll.SNL.Clients.Office.Excel.Functions.SPG(A582, "SP_DEBT_TO_EQUITY", "LTM")</f>
        <v>#NAME?</v>
      </c>
      <c r="U582" s="9" t="e">
        <f t="shared" ca="1" si="9"/>
        <v>#NAME?</v>
      </c>
      <c r="Y582" s="1"/>
      <c r="Z582" s="1"/>
      <c r="AA582" s="10"/>
      <c r="AB582" s="1" t="s">
        <v>1213</v>
      </c>
      <c r="AC582" s="1" t="s">
        <v>37</v>
      </c>
      <c r="AD582" s="10">
        <v>1878.0987474568601</v>
      </c>
      <c r="AE582" s="1" t="s">
        <v>42</v>
      </c>
    </row>
    <row r="583" spans="1:31" x14ac:dyDescent="0.2">
      <c r="A583" s="1" t="s">
        <v>1214</v>
      </c>
      <c r="B583" s="2" t="s">
        <v>1408</v>
      </c>
      <c r="C583" s="3" t="s">
        <v>1408</v>
      </c>
      <c r="D583" s="2" t="s">
        <v>1408</v>
      </c>
      <c r="E583" s="2" t="s">
        <v>1408</v>
      </c>
      <c r="F583" s="4" t="s">
        <v>1408</v>
      </c>
      <c r="G583" s="4" t="s">
        <v>1408</v>
      </c>
      <c r="H583" s="2" t="s">
        <v>1408</v>
      </c>
      <c r="I583" s="4" t="s">
        <v>1408</v>
      </c>
      <c r="J583" s="4" t="s">
        <v>1408</v>
      </c>
      <c r="K583" s="4" t="s">
        <v>1408</v>
      </c>
      <c r="L583" s="4" t="s">
        <v>1408</v>
      </c>
      <c r="N583" s="5" t="s">
        <v>1408</v>
      </c>
      <c r="O583" s="5" t="s">
        <v>1408</v>
      </c>
      <c r="P583" s="6" t="e">
        <v>#VALUE!</v>
      </c>
      <c r="Q583" s="1"/>
      <c r="R583" s="7" t="e">
        <f ca="1">_xll.SNL.Clients.Office.Excel.Functions.SPG(A583, "SP_TOTAL_DEBT", "LTM")</f>
        <v>#NAME?</v>
      </c>
      <c r="S583" s="8" t="e">
        <f ca="1">_xll.SNL.Clients.Office.Excel.Functions.SPG(A583, "SP_DEBT_TO_EQUITY", "LTM")</f>
        <v>#NAME?</v>
      </c>
      <c r="U583" s="9" t="e">
        <f t="shared" ca="1" si="9"/>
        <v>#VALUE!</v>
      </c>
      <c r="Y583" s="1"/>
      <c r="Z583" s="1"/>
      <c r="AA583" s="10"/>
      <c r="AB583" s="1" t="s">
        <v>1215</v>
      </c>
      <c r="AC583" s="1" t="s">
        <v>363</v>
      </c>
      <c r="AD583" s="10">
        <v>790.92625009698304</v>
      </c>
      <c r="AE583" s="1" t="s">
        <v>42</v>
      </c>
    </row>
    <row r="584" spans="1:31" x14ac:dyDescent="0.2">
      <c r="A584" s="1" t="s">
        <v>1216</v>
      </c>
      <c r="B584" s="2" t="s">
        <v>1408</v>
      </c>
      <c r="C584" s="3" t="s">
        <v>1409</v>
      </c>
      <c r="D584" s="2">
        <v>36.113999999999997</v>
      </c>
      <c r="E584" s="2" t="s">
        <v>1409</v>
      </c>
      <c r="F584" s="4">
        <v>-1.2250000000000001</v>
      </c>
      <c r="G584" s="4">
        <v>-5.7548959536886501</v>
      </c>
      <c r="H584" s="2">
        <v>1.3859999999999999</v>
      </c>
      <c r="I584" s="4">
        <v>8.4000000000000005E-2</v>
      </c>
      <c r="J584" s="4">
        <v>-14.371541801950899</v>
      </c>
      <c r="K584" s="4">
        <v>1.4541390000000001</v>
      </c>
      <c r="L584" s="4" t="s">
        <v>1408</v>
      </c>
      <c r="N584" s="5" t="s">
        <v>1408</v>
      </c>
      <c r="O584" s="5">
        <v>-300742</v>
      </c>
      <c r="P584" s="6" t="e">
        <v>#VALUE!</v>
      </c>
      <c r="Q584" s="1"/>
      <c r="R584" s="7" t="e">
        <f ca="1">_xll.SNL.Clients.Office.Excel.Functions.SPG(A584, "SP_TOTAL_DEBT", "LTM")</f>
        <v>#NAME?</v>
      </c>
      <c r="S584" s="8" t="e">
        <f ca="1">_xll.SNL.Clients.Office.Excel.Functions.SPG(A584, "SP_DEBT_TO_EQUITY", "LTM")</f>
        <v>#NAME?</v>
      </c>
      <c r="U584" s="9" t="e">
        <f t="shared" ca="1" si="9"/>
        <v>#VALUE!</v>
      </c>
      <c r="Y584" s="1"/>
      <c r="Z584" s="1"/>
      <c r="AA584" s="10"/>
      <c r="AB584" s="1" t="s">
        <v>1217</v>
      </c>
      <c r="AC584" s="1" t="s">
        <v>82</v>
      </c>
      <c r="AD584" s="10">
        <v>7640.9978391900004</v>
      </c>
      <c r="AE584" s="1" t="s">
        <v>25</v>
      </c>
    </row>
    <row r="585" spans="1:31" x14ac:dyDescent="0.2">
      <c r="A585" s="1" t="s">
        <v>1218</v>
      </c>
      <c r="B585" s="2" t="s">
        <v>1408</v>
      </c>
      <c r="C585" s="3">
        <v>12.074303405572801</v>
      </c>
      <c r="D585" s="2">
        <v>-1.3240000000000001</v>
      </c>
      <c r="E585" s="2">
        <v>7.1878450000000003</v>
      </c>
      <c r="F585" s="4">
        <v>1.54</v>
      </c>
      <c r="G585" s="4">
        <v>16.578461343345499</v>
      </c>
      <c r="H585" s="2" t="s">
        <v>1408</v>
      </c>
      <c r="I585" s="4" t="s">
        <v>1408</v>
      </c>
      <c r="J585" s="4">
        <v>29.201652312427399</v>
      </c>
      <c r="K585" s="4">
        <v>1.0492779999999999</v>
      </c>
      <c r="L585" s="4" t="s">
        <v>1408</v>
      </c>
      <c r="N585" s="5" t="s">
        <v>1408</v>
      </c>
      <c r="O585" s="5">
        <v>62745</v>
      </c>
      <c r="P585" s="6" t="e">
        <v>#VALUE!</v>
      </c>
      <c r="Q585" s="1"/>
      <c r="R585" s="7" t="e">
        <f ca="1">_xll.SNL.Clients.Office.Excel.Functions.SPG(A585, "SP_TOTAL_DEBT", "LTM")</f>
        <v>#NAME?</v>
      </c>
      <c r="S585" s="8" t="e">
        <f ca="1">_xll.SNL.Clients.Office.Excel.Functions.SPG(A585, "SP_DEBT_TO_EQUITY", "LTM")</f>
        <v>#NAME?</v>
      </c>
      <c r="U585" s="9" t="e">
        <f t="shared" ca="1" si="9"/>
        <v>#VALUE!</v>
      </c>
      <c r="Y585" s="1"/>
      <c r="Z585" s="1"/>
      <c r="AA585" s="10"/>
      <c r="AB585" s="1" t="s">
        <v>1219</v>
      </c>
      <c r="AC585" s="1" t="s">
        <v>34</v>
      </c>
      <c r="AD585" s="10">
        <v>444.57504091999999</v>
      </c>
      <c r="AE585" s="1" t="s">
        <v>25</v>
      </c>
    </row>
    <row r="586" spans="1:31" x14ac:dyDescent="0.2">
      <c r="A586" s="1" t="s">
        <v>1220</v>
      </c>
      <c r="B586" s="2" t="s">
        <v>1408</v>
      </c>
      <c r="C586" s="3">
        <v>-67.682749413798405</v>
      </c>
      <c r="D586" s="2">
        <v>-33.728000000000002</v>
      </c>
      <c r="E586" s="2">
        <v>3.2877230000000002</v>
      </c>
      <c r="F586" s="4">
        <v>2.794</v>
      </c>
      <c r="G586" s="4">
        <v>8.7769632217694706</v>
      </c>
      <c r="H586" s="2" t="s">
        <v>1408</v>
      </c>
      <c r="I586" s="4" t="s">
        <v>1408</v>
      </c>
      <c r="J586" s="4">
        <v>33.858528731277701</v>
      </c>
      <c r="K586" s="4">
        <v>1.158679</v>
      </c>
      <c r="L586" s="4" t="s">
        <v>1408</v>
      </c>
      <c r="N586" s="5" t="s">
        <v>1408</v>
      </c>
      <c r="O586" s="5">
        <v>132772</v>
      </c>
      <c r="P586" s="6" t="e">
        <v>#VALUE!</v>
      </c>
      <c r="Q586" s="1"/>
      <c r="R586" s="7" t="e">
        <f ca="1">_xll.SNL.Clients.Office.Excel.Functions.SPG(A586, "SP_TOTAL_DEBT", "LTM")</f>
        <v>#NAME?</v>
      </c>
      <c r="S586" s="8" t="e">
        <f ca="1">_xll.SNL.Clients.Office.Excel.Functions.SPG(A586, "SP_DEBT_TO_EQUITY", "LTM")</f>
        <v>#NAME?</v>
      </c>
      <c r="U586" s="9" t="e">
        <f t="shared" ca="1" si="9"/>
        <v>#VALUE!</v>
      </c>
      <c r="Y586" s="1"/>
      <c r="Z586" s="1"/>
      <c r="AA586" s="10"/>
      <c r="AB586" s="1" t="s">
        <v>1221</v>
      </c>
      <c r="AC586" s="1" t="s">
        <v>34</v>
      </c>
      <c r="AD586" s="10">
        <v>430.72534777999999</v>
      </c>
      <c r="AE586" s="1" t="s">
        <v>25</v>
      </c>
    </row>
    <row r="587" spans="1:31" x14ac:dyDescent="0.2">
      <c r="A587" s="1" t="s">
        <v>1222</v>
      </c>
      <c r="B587" s="2" t="s">
        <v>1408</v>
      </c>
      <c r="C587" s="3">
        <v>57.954545454545404</v>
      </c>
      <c r="D587" s="2">
        <v>12.314</v>
      </c>
      <c r="E587" s="2">
        <v>11.345324</v>
      </c>
      <c r="F587" s="4">
        <v>1.1160000000000001</v>
      </c>
      <c r="G587" s="4">
        <v>9.4788290298742304</v>
      </c>
      <c r="H587" s="2" t="s">
        <v>1408</v>
      </c>
      <c r="I587" s="4" t="s">
        <v>1408</v>
      </c>
      <c r="J587" s="4">
        <v>38.409600877237501</v>
      </c>
      <c r="K587" s="4">
        <v>1.0052909999999999</v>
      </c>
      <c r="L587" s="4" t="s">
        <v>1408</v>
      </c>
      <c r="N587" s="5" t="s">
        <v>1408</v>
      </c>
      <c r="O587" s="5">
        <v>25910</v>
      </c>
      <c r="P587" s="6" t="e">
        <v>#VALUE!</v>
      </c>
      <c r="Q587" s="1"/>
      <c r="R587" s="7" t="e">
        <f ca="1">_xll.SNL.Clients.Office.Excel.Functions.SPG(A587, "SP_TOTAL_DEBT", "LTM")</f>
        <v>#NAME?</v>
      </c>
      <c r="S587" s="8" t="e">
        <f ca="1">_xll.SNL.Clients.Office.Excel.Functions.SPG(A587, "SP_DEBT_TO_EQUITY", "LTM")</f>
        <v>#NAME?</v>
      </c>
      <c r="U587" s="9" t="e">
        <f t="shared" ca="1" si="9"/>
        <v>#VALUE!</v>
      </c>
      <c r="Y587" s="1"/>
      <c r="Z587" s="1"/>
      <c r="AA587" s="10"/>
      <c r="AB587" s="1" t="s">
        <v>1223</v>
      </c>
      <c r="AC587" s="1" t="s">
        <v>34</v>
      </c>
      <c r="AD587" s="10">
        <v>302.42961455</v>
      </c>
      <c r="AE587" s="1" t="s">
        <v>25</v>
      </c>
    </row>
    <row r="588" spans="1:31" x14ac:dyDescent="0.2">
      <c r="A588" s="1" t="s">
        <v>1224</v>
      </c>
      <c r="B588" s="2" t="s">
        <v>1408</v>
      </c>
      <c r="C588" s="3">
        <v>-54.016620498614998</v>
      </c>
      <c r="D588" s="2">
        <v>-14.638999999999999</v>
      </c>
      <c r="E588" s="2">
        <v>20.114457999999999</v>
      </c>
      <c r="F588" s="4">
        <v>0.34699999999999998</v>
      </c>
      <c r="G588" s="4">
        <v>4.4360887349911096</v>
      </c>
      <c r="H588" s="2" t="s">
        <v>1408</v>
      </c>
      <c r="I588" s="4" t="s">
        <v>1408</v>
      </c>
      <c r="J588" s="4" t="s">
        <v>1408</v>
      </c>
      <c r="K588" s="4">
        <v>0.86428700000000003</v>
      </c>
      <c r="L588" s="4" t="s">
        <v>1408</v>
      </c>
      <c r="N588" s="5" t="s">
        <v>1408</v>
      </c>
      <c r="O588" s="5">
        <v>13426</v>
      </c>
      <c r="P588" s="6" t="e">
        <v>#VALUE!</v>
      </c>
      <c r="Q588" s="1"/>
      <c r="R588" s="7" t="e">
        <f ca="1">_xll.SNL.Clients.Office.Excel.Functions.SPG(A588, "SP_TOTAL_DEBT", "LTM")</f>
        <v>#NAME?</v>
      </c>
      <c r="S588" s="8" t="e">
        <f ca="1">_xll.SNL.Clients.Office.Excel.Functions.SPG(A588, "SP_DEBT_TO_EQUITY", "LTM")</f>
        <v>#NAME?</v>
      </c>
      <c r="U588" s="9" t="e">
        <f t="shared" ca="1" si="9"/>
        <v>#VALUE!</v>
      </c>
      <c r="Y588" s="1"/>
      <c r="Z588" s="1"/>
      <c r="AA588" s="10"/>
      <c r="AB588" s="1" t="s">
        <v>1225</v>
      </c>
      <c r="AC588" s="1" t="s">
        <v>34</v>
      </c>
      <c r="AD588" s="10">
        <v>303.24303861999999</v>
      </c>
      <c r="AE588" s="1" t="s">
        <v>25</v>
      </c>
    </row>
    <row r="589" spans="1:31" x14ac:dyDescent="0.2">
      <c r="A589" s="1" t="s">
        <v>1226</v>
      </c>
      <c r="B589" s="2" t="s">
        <v>1408</v>
      </c>
      <c r="C589" s="3">
        <v>-26.1036468330134</v>
      </c>
      <c r="D589" s="2">
        <v>10.224</v>
      </c>
      <c r="E589" s="2">
        <v>10.680695999999999</v>
      </c>
      <c r="F589" s="4">
        <v>1.07</v>
      </c>
      <c r="G589" s="4">
        <v>10.3897238727718</v>
      </c>
      <c r="H589" s="2" t="s">
        <v>1408</v>
      </c>
      <c r="I589" s="4" t="s">
        <v>1408</v>
      </c>
      <c r="J589" s="4">
        <v>35.531310715887003</v>
      </c>
      <c r="K589" s="4">
        <v>0.99119999999999997</v>
      </c>
      <c r="L589" s="4" t="s">
        <v>1408</v>
      </c>
      <c r="N589" s="5" t="s">
        <v>1408</v>
      </c>
      <c r="O589" s="5">
        <v>43313</v>
      </c>
      <c r="P589" s="6" t="e">
        <v>#VALUE!</v>
      </c>
      <c r="Q589" s="1"/>
      <c r="R589" s="7" t="e">
        <f ca="1">_xll.SNL.Clients.Office.Excel.Functions.SPG(A589, "SP_TOTAL_DEBT", "LTM")</f>
        <v>#NAME?</v>
      </c>
      <c r="S589" s="8" t="e">
        <f ca="1">_xll.SNL.Clients.Office.Excel.Functions.SPG(A589, "SP_DEBT_TO_EQUITY", "LTM")</f>
        <v>#NAME?</v>
      </c>
      <c r="U589" s="9" t="e">
        <f t="shared" ca="1" si="9"/>
        <v>#VALUE!</v>
      </c>
      <c r="Y589" s="1"/>
      <c r="Z589" s="1"/>
      <c r="AA589" s="10"/>
      <c r="AB589" s="1" t="s">
        <v>1227</v>
      </c>
      <c r="AC589" s="1" t="s">
        <v>34</v>
      </c>
      <c r="AD589" s="10">
        <v>494.38310782000002</v>
      </c>
      <c r="AE589" s="1" t="s">
        <v>25</v>
      </c>
    </row>
    <row r="590" spans="1:31" x14ac:dyDescent="0.2">
      <c r="A590" s="1" t="s">
        <v>1228</v>
      </c>
      <c r="B590" s="2" t="s">
        <v>1408</v>
      </c>
      <c r="C590" s="3">
        <v>-13.4969325153374</v>
      </c>
      <c r="D590" s="2">
        <v>-3.3010000000000002</v>
      </c>
      <c r="E590" s="2">
        <v>10.624112999999999</v>
      </c>
      <c r="F590" s="4">
        <v>1.0940000000000001</v>
      </c>
      <c r="G590" s="4">
        <v>11.4961185416219</v>
      </c>
      <c r="H590" s="2" t="s">
        <v>1408</v>
      </c>
      <c r="I590" s="4" t="s">
        <v>1408</v>
      </c>
      <c r="J590" s="4" t="s">
        <v>1408</v>
      </c>
      <c r="K590" s="4">
        <v>1.171961</v>
      </c>
      <c r="L590" s="4" t="s">
        <v>1408</v>
      </c>
      <c r="N590" s="5" t="s">
        <v>1408</v>
      </c>
      <c r="O590" s="5">
        <v>86692</v>
      </c>
      <c r="P590" s="6" t="e">
        <v>#VALUE!</v>
      </c>
      <c r="Q590" s="1"/>
      <c r="R590" s="7" t="e">
        <f ca="1">_xll.SNL.Clients.Office.Excel.Functions.SPG(A590, "SP_TOTAL_DEBT", "LTM")</f>
        <v>#NAME?</v>
      </c>
      <c r="S590" s="8" t="e">
        <f ca="1">_xll.SNL.Clients.Office.Excel.Functions.SPG(A590, "SP_DEBT_TO_EQUITY", "LTM")</f>
        <v>#NAME?</v>
      </c>
      <c r="U590" s="9" t="e">
        <f t="shared" ca="1" si="9"/>
        <v>#VALUE!</v>
      </c>
      <c r="Y590" s="1"/>
      <c r="Z590" s="1"/>
      <c r="AA590" s="10"/>
      <c r="AB590" s="1" t="s">
        <v>1229</v>
      </c>
      <c r="AC590" s="1" t="s">
        <v>34</v>
      </c>
      <c r="AD590" s="10">
        <v>946.79369999999994</v>
      </c>
      <c r="AE590" s="1" t="s">
        <v>25</v>
      </c>
    </row>
    <row r="591" spans="1:31" x14ac:dyDescent="0.2">
      <c r="A591" s="1" t="s">
        <v>1230</v>
      </c>
      <c r="B591" s="2" t="s">
        <v>1408</v>
      </c>
      <c r="C591" s="3">
        <v>-2.1212121212121202</v>
      </c>
      <c r="D591" s="2">
        <v>3.99</v>
      </c>
      <c r="E591" s="2">
        <v>12.315789000000001</v>
      </c>
      <c r="F591" s="4">
        <v>1.113</v>
      </c>
      <c r="G591" s="4">
        <v>9.3674168122228103</v>
      </c>
      <c r="H591" s="2" t="s">
        <v>1408</v>
      </c>
      <c r="I591" s="4" t="s">
        <v>1408</v>
      </c>
      <c r="J591" s="4">
        <v>38.465303765330297</v>
      </c>
      <c r="K591" s="4">
        <v>1.0928720000000001</v>
      </c>
      <c r="L591" s="4" t="s">
        <v>1408</v>
      </c>
      <c r="N591" s="5" t="s">
        <v>1408</v>
      </c>
      <c r="O591" s="5">
        <v>494308</v>
      </c>
      <c r="P591" s="6" t="e">
        <v>#VALUE!</v>
      </c>
      <c r="Q591" s="1"/>
      <c r="R591" s="7" t="e">
        <f ca="1">_xll.SNL.Clients.Office.Excel.Functions.SPG(A591, "SP_TOTAL_DEBT", "LTM")</f>
        <v>#NAME?</v>
      </c>
      <c r="S591" s="8" t="e">
        <f ca="1">_xll.SNL.Clients.Office.Excel.Functions.SPG(A591, "SP_DEBT_TO_EQUITY", "LTM")</f>
        <v>#NAME?</v>
      </c>
      <c r="U591" s="9" t="e">
        <f t="shared" ca="1" si="9"/>
        <v>#VALUE!</v>
      </c>
      <c r="Y591" s="1"/>
      <c r="Z591" s="1"/>
      <c r="AA591" s="10"/>
      <c r="AB591" s="1" t="s">
        <v>1231</v>
      </c>
      <c r="AC591" s="1" t="s">
        <v>34</v>
      </c>
      <c r="AD591" s="10">
        <v>6315.9906530999997</v>
      </c>
      <c r="AE591" s="1" t="s">
        <v>25</v>
      </c>
    </row>
    <row r="592" spans="1:31" x14ac:dyDescent="0.2">
      <c r="A592" s="1" t="s">
        <v>1232</v>
      </c>
      <c r="B592" s="2">
        <v>7.3150000000000004</v>
      </c>
      <c r="C592" s="3">
        <v>-47.65625</v>
      </c>
      <c r="D592" s="2">
        <v>-11.821</v>
      </c>
      <c r="E592" s="2">
        <v>24.335183000000001</v>
      </c>
      <c r="F592" s="4">
        <v>8.2490000000000006</v>
      </c>
      <c r="G592" s="4">
        <v>6.1878499572725296</v>
      </c>
      <c r="H592" s="2">
        <v>2.6429999999999998</v>
      </c>
      <c r="I592" s="4">
        <v>0.38800000000000001</v>
      </c>
      <c r="J592" s="4" t="s">
        <v>1408</v>
      </c>
      <c r="K592" s="4">
        <v>3.13002</v>
      </c>
      <c r="L592" s="4">
        <v>18.120729999999998</v>
      </c>
      <c r="N592" s="5">
        <v>49886.125</v>
      </c>
      <c r="O592" s="5">
        <v>39466</v>
      </c>
      <c r="P592" s="6">
        <v>1.2640278974306998</v>
      </c>
      <c r="Q592" s="1"/>
      <c r="R592" s="7" t="e">
        <f ca="1">_xll.SNL.Clients.Office.Excel.Functions.SPG(A592, "SP_TOTAL_DEBT", "LTM")</f>
        <v>#NAME?</v>
      </c>
      <c r="S592" s="8" t="e">
        <f ca="1">_xll.SNL.Clients.Office.Excel.Functions.SPG(A592, "SP_DEBT_TO_EQUITY", "LTM")</f>
        <v>#NAME?</v>
      </c>
      <c r="U592" s="9" t="e">
        <f t="shared" ca="1" si="9"/>
        <v>#NAME?</v>
      </c>
      <c r="Y592" s="1"/>
      <c r="Z592" s="1"/>
      <c r="AA592" s="10"/>
      <c r="AB592" s="1" t="s">
        <v>1233</v>
      </c>
      <c r="AC592" s="1" t="s">
        <v>37</v>
      </c>
      <c r="AD592" s="10">
        <v>888.32909319899204</v>
      </c>
      <c r="AE592" s="1" t="s">
        <v>25</v>
      </c>
    </row>
    <row r="593" spans="1:31" x14ac:dyDescent="0.2">
      <c r="A593" s="1" t="s">
        <v>1234</v>
      </c>
      <c r="B593" s="2">
        <v>5.5910000000000002</v>
      </c>
      <c r="C593" s="3">
        <v>-17.056856187291</v>
      </c>
      <c r="D593" s="2">
        <v>4.593</v>
      </c>
      <c r="E593" s="2">
        <v>25.032976000000001</v>
      </c>
      <c r="F593" s="4">
        <v>4.5949999999999998</v>
      </c>
      <c r="G593" s="4">
        <v>10.687393733300899</v>
      </c>
      <c r="H593" s="2">
        <v>1.1399999999999999</v>
      </c>
      <c r="I593" s="4">
        <v>0.33200000000000002</v>
      </c>
      <c r="J593" s="4" t="s">
        <v>1408</v>
      </c>
      <c r="K593" s="4">
        <v>2.4464229999999998</v>
      </c>
      <c r="L593" s="4">
        <v>11.187735</v>
      </c>
      <c r="N593" s="5">
        <v>1320475</v>
      </c>
      <c r="O593" s="5">
        <v>621300</v>
      </c>
      <c r="P593" s="6">
        <v>2.1253420247867374</v>
      </c>
      <c r="Q593" s="1"/>
      <c r="R593" s="7" t="e">
        <f ca="1">_xll.SNL.Clients.Office.Excel.Functions.SPG(A593, "SP_TOTAL_DEBT", "LTM")</f>
        <v>#NAME?</v>
      </c>
      <c r="S593" s="8" t="e">
        <f ca="1">_xll.SNL.Clients.Office.Excel.Functions.SPG(A593, "SP_DEBT_TO_EQUITY", "LTM")</f>
        <v>#NAME?</v>
      </c>
      <c r="U593" s="9" t="e">
        <f t="shared" ca="1" si="9"/>
        <v>#NAME?</v>
      </c>
      <c r="Y593" s="1"/>
      <c r="Z593" s="1"/>
      <c r="AA593" s="10"/>
      <c r="AB593" s="1" t="s">
        <v>1235</v>
      </c>
      <c r="AC593" s="1" t="s">
        <v>319</v>
      </c>
      <c r="AD593" s="10">
        <v>15103.351326419999</v>
      </c>
      <c r="AE593" s="1" t="s">
        <v>25</v>
      </c>
    </row>
    <row r="594" spans="1:31" x14ac:dyDescent="0.2">
      <c r="A594" s="1" t="s">
        <v>1236</v>
      </c>
      <c r="B594" s="2">
        <v>-17.218</v>
      </c>
      <c r="C594" s="3" t="s">
        <v>1408</v>
      </c>
      <c r="D594" s="2">
        <v>-16.222999999999999</v>
      </c>
      <c r="E594" s="2" t="s">
        <v>1409</v>
      </c>
      <c r="F594" s="4">
        <v>-10.324999999999999</v>
      </c>
      <c r="G594" s="4" t="s">
        <v>1408</v>
      </c>
      <c r="H594" s="2">
        <v>2.4700000000000002</v>
      </c>
      <c r="I594" s="4">
        <v>0.46300000000000002</v>
      </c>
      <c r="J594" s="4" t="s">
        <v>1408</v>
      </c>
      <c r="K594" s="4">
        <v>9.1514140000000008</v>
      </c>
      <c r="L594" s="4" t="s">
        <v>1409</v>
      </c>
      <c r="N594" s="5">
        <v>1602.8430000000001</v>
      </c>
      <c r="O594" s="5">
        <v>-7485.0420000000004</v>
      </c>
      <c r="P594" s="6">
        <v>-0.21413947977847017</v>
      </c>
      <c r="Q594" s="1"/>
      <c r="R594" s="7" t="e">
        <f ca="1">_xll.SNL.Clients.Office.Excel.Functions.SPG(A594, "SP_TOTAL_DEBT", "LTM")</f>
        <v>#NAME?</v>
      </c>
      <c r="S594" s="8" t="e">
        <f ca="1">_xll.SNL.Clients.Office.Excel.Functions.SPG(A594, "SP_DEBT_TO_EQUITY", "LTM")</f>
        <v>#NAME?</v>
      </c>
      <c r="U594" s="9" t="e">
        <f t="shared" ca="1" si="9"/>
        <v>#NAME?</v>
      </c>
      <c r="Y594" s="1"/>
      <c r="Z594" s="1"/>
      <c r="AA594" s="10"/>
      <c r="AB594" s="1" t="s">
        <v>1237</v>
      </c>
      <c r="AC594" s="1" t="s">
        <v>37</v>
      </c>
      <c r="AD594" s="10">
        <v>365.19082600000002</v>
      </c>
      <c r="AE594" s="1" t="s">
        <v>25</v>
      </c>
    </row>
    <row r="595" spans="1:31" x14ac:dyDescent="0.2">
      <c r="A595" s="1" t="s">
        <v>1238</v>
      </c>
      <c r="B595" s="2" t="s">
        <v>1408</v>
      </c>
      <c r="C595" s="3">
        <v>80.263157894736906</v>
      </c>
      <c r="D595" s="2">
        <v>-13.391999999999999</v>
      </c>
      <c r="E595" s="2">
        <v>15.142637000000001</v>
      </c>
      <c r="F595" s="4">
        <v>0.66900000000000004</v>
      </c>
      <c r="G595" s="4">
        <v>15.7607483572943</v>
      </c>
      <c r="H595" s="2">
        <v>21.651</v>
      </c>
      <c r="I595" s="4">
        <v>5.0000000000000001E-3</v>
      </c>
      <c r="J595" s="4" t="s">
        <v>1408</v>
      </c>
      <c r="K595" s="4">
        <v>0.97319299999999997</v>
      </c>
      <c r="L595" s="4" t="s">
        <v>1408</v>
      </c>
      <c r="N595" s="5" t="s">
        <v>1408</v>
      </c>
      <c r="O595" s="5">
        <v>502721</v>
      </c>
      <c r="P595" s="6" t="e">
        <v>#VALUE!</v>
      </c>
      <c r="Q595" s="1"/>
      <c r="R595" s="7" t="e">
        <f ca="1">_xll.SNL.Clients.Office.Excel.Functions.SPG(A595, "SP_TOTAL_DEBT", "LTM")</f>
        <v>#NAME?</v>
      </c>
      <c r="S595" s="8" t="e">
        <f ca="1">_xll.SNL.Clients.Office.Excel.Functions.SPG(A595, "SP_DEBT_TO_EQUITY", "LTM")</f>
        <v>#NAME?</v>
      </c>
      <c r="U595" s="9" t="e">
        <f t="shared" ca="1" si="9"/>
        <v>#VALUE!</v>
      </c>
      <c r="Y595" s="1"/>
      <c r="Z595" s="1"/>
      <c r="AA595" s="10"/>
      <c r="AB595" s="1" t="s">
        <v>1239</v>
      </c>
      <c r="AC595" s="1" t="s">
        <v>65</v>
      </c>
      <c r="AD595" s="10">
        <v>6367.8855558400001</v>
      </c>
      <c r="AE595" s="1" t="s">
        <v>25</v>
      </c>
    </row>
    <row r="596" spans="1:31" x14ac:dyDescent="0.2">
      <c r="A596" s="1" t="s">
        <v>1240</v>
      </c>
      <c r="B596" s="2" t="s">
        <v>1408</v>
      </c>
      <c r="C596" s="3">
        <v>-22.392211404728801</v>
      </c>
      <c r="D596" s="2">
        <v>-1.8879999999999999</v>
      </c>
      <c r="E596" s="2">
        <v>12.983871000000001</v>
      </c>
      <c r="F596" s="4">
        <v>0.64900000000000002</v>
      </c>
      <c r="G596" s="4">
        <v>8.04069983868966</v>
      </c>
      <c r="H596" s="2" t="s">
        <v>1408</v>
      </c>
      <c r="I596" s="4" t="s">
        <v>1408</v>
      </c>
      <c r="J596" s="4">
        <v>26.391045020018002</v>
      </c>
      <c r="K596" s="4">
        <v>1.002421</v>
      </c>
      <c r="L596" s="4" t="s">
        <v>1408</v>
      </c>
      <c r="N596" s="5" t="s">
        <v>1408</v>
      </c>
      <c r="O596" s="5">
        <v>1944000</v>
      </c>
      <c r="P596" s="6" t="e">
        <v>#VALUE!</v>
      </c>
      <c r="Q596" s="1"/>
      <c r="R596" s="7" t="e">
        <f ca="1">_xll.SNL.Clients.Office.Excel.Functions.SPG(A596, "SP_TOTAL_DEBT", "LTM")</f>
        <v>#NAME?</v>
      </c>
      <c r="S596" s="8" t="e">
        <f ca="1">_xll.SNL.Clients.Office.Excel.Functions.SPG(A596, "SP_DEBT_TO_EQUITY", "LTM")</f>
        <v>#NAME?</v>
      </c>
      <c r="U596" s="9" t="e">
        <f t="shared" ca="1" si="9"/>
        <v>#VALUE!</v>
      </c>
      <c r="Y596" s="1"/>
      <c r="Z596" s="1"/>
      <c r="AA596" s="10"/>
      <c r="AB596" s="1" t="s">
        <v>1241</v>
      </c>
      <c r="AC596" s="1" t="s">
        <v>37</v>
      </c>
      <c r="AD596" s="10">
        <v>22304.606456410002</v>
      </c>
      <c r="AE596" s="1" t="s">
        <v>25</v>
      </c>
    </row>
    <row r="597" spans="1:31" x14ac:dyDescent="0.2">
      <c r="A597" s="1" t="s">
        <v>1242</v>
      </c>
      <c r="B597" s="2" t="s">
        <v>1408</v>
      </c>
      <c r="C597" s="3">
        <v>66.6666666666667</v>
      </c>
      <c r="D597" s="2">
        <v>7.9980000000000002</v>
      </c>
      <c r="E597" s="2" t="s">
        <v>1408</v>
      </c>
      <c r="F597" s="4" t="s">
        <v>1408</v>
      </c>
      <c r="G597" s="4">
        <v>8.9631123388834908</v>
      </c>
      <c r="H597" s="2" t="s">
        <v>1408</v>
      </c>
      <c r="I597" s="4" t="s">
        <v>1408</v>
      </c>
      <c r="J597" s="4" t="s">
        <v>1408</v>
      </c>
      <c r="K597" s="4" t="s">
        <v>1408</v>
      </c>
      <c r="L597" s="4" t="s">
        <v>1408</v>
      </c>
      <c r="N597" s="5" t="s">
        <v>1408</v>
      </c>
      <c r="O597" s="5">
        <v>130497</v>
      </c>
      <c r="P597" s="6" t="e">
        <v>#VALUE!</v>
      </c>
      <c r="Q597" s="1"/>
      <c r="R597" s="7" t="e">
        <f ca="1">_xll.SNL.Clients.Office.Excel.Functions.SPG(A597, "SP_TOTAL_DEBT", "LTM")</f>
        <v>#NAME?</v>
      </c>
      <c r="S597" s="8" t="e">
        <f ca="1">_xll.SNL.Clients.Office.Excel.Functions.SPG(A597, "SP_DEBT_TO_EQUITY", "LTM")</f>
        <v>#NAME?</v>
      </c>
      <c r="U597" s="9" t="e">
        <f t="shared" ca="1" si="9"/>
        <v>#VALUE!</v>
      </c>
      <c r="Y597" s="1"/>
      <c r="Z597" s="1"/>
      <c r="AA597" s="10"/>
      <c r="AB597" s="1" t="s">
        <v>1243</v>
      </c>
      <c r="AC597" s="1" t="s">
        <v>34</v>
      </c>
      <c r="AD597" s="10">
        <v>1333.87373</v>
      </c>
      <c r="AE597" s="1" t="s">
        <v>25</v>
      </c>
    </row>
    <row r="598" spans="1:31" x14ac:dyDescent="0.2">
      <c r="A598" s="1" t="s">
        <v>1244</v>
      </c>
      <c r="B598" s="2">
        <v>0.33800000000000002</v>
      </c>
      <c r="C598" s="3" t="s">
        <v>1409</v>
      </c>
      <c r="D598" s="2" t="s">
        <v>1409</v>
      </c>
      <c r="E598" s="2">
        <v>29.593495999999998</v>
      </c>
      <c r="F598" s="4">
        <v>3.0950000000000002</v>
      </c>
      <c r="G598" s="4">
        <v>-2.6940346471301799</v>
      </c>
      <c r="H598" s="2">
        <v>1.1419999999999999</v>
      </c>
      <c r="I598" s="4">
        <v>0.15</v>
      </c>
      <c r="J598" s="4" t="s">
        <v>1408</v>
      </c>
      <c r="K598" s="4">
        <v>2.6412960000000001</v>
      </c>
      <c r="L598" s="4">
        <v>12.800444000000001</v>
      </c>
      <c r="N598" s="5">
        <v>-203524</v>
      </c>
      <c r="O598" s="5">
        <v>151958</v>
      </c>
      <c r="P598" s="6">
        <v>-1.3393437660406164</v>
      </c>
      <c r="Q598" s="1"/>
      <c r="R598" s="7" t="e">
        <f ca="1">_xll.SNL.Clients.Office.Excel.Functions.SPG(A598, "SP_TOTAL_DEBT", "LTM")</f>
        <v>#NAME?</v>
      </c>
      <c r="S598" s="8" t="e">
        <f ca="1">_xll.SNL.Clients.Office.Excel.Functions.SPG(A598, "SP_DEBT_TO_EQUITY", "LTM")</f>
        <v>#NAME?</v>
      </c>
      <c r="U598" s="9" t="e">
        <f t="shared" ca="1" si="9"/>
        <v>#NAME?</v>
      </c>
      <c r="Y598" s="1"/>
      <c r="Z598" s="1"/>
      <c r="AA598" s="10"/>
      <c r="AB598" s="1" t="s">
        <v>1245</v>
      </c>
      <c r="AC598" s="1" t="s">
        <v>37</v>
      </c>
      <c r="AD598" s="10">
        <v>2143.1064443999999</v>
      </c>
      <c r="AE598" s="1" t="s">
        <v>25</v>
      </c>
    </row>
    <row r="599" spans="1:31" x14ac:dyDescent="0.2">
      <c r="A599" s="1" t="s">
        <v>1246</v>
      </c>
      <c r="B599" s="2">
        <v>8.1129999999999995</v>
      </c>
      <c r="C599" s="3">
        <v>-50.084033613445399</v>
      </c>
      <c r="D599" s="2">
        <v>-6.9029999999999996</v>
      </c>
      <c r="E599" s="2">
        <v>47.392325999999997</v>
      </c>
      <c r="F599" s="4">
        <v>1.994</v>
      </c>
      <c r="G599" s="4">
        <v>13.5293909697634</v>
      </c>
      <c r="H599" s="2">
        <v>1.9259999999999999</v>
      </c>
      <c r="I599" s="4">
        <v>0.86899999999999999</v>
      </c>
      <c r="J599" s="4" t="s">
        <v>1408</v>
      </c>
      <c r="K599" s="4">
        <v>1.224655</v>
      </c>
      <c r="L599" s="4">
        <v>9.9981460000000002</v>
      </c>
      <c r="N599" s="5">
        <v>70075.75</v>
      </c>
      <c r="O599" s="5">
        <v>50757</v>
      </c>
      <c r="P599" s="6">
        <v>1.3806125263510451</v>
      </c>
      <c r="Q599" s="1"/>
      <c r="R599" s="7" t="e">
        <f ca="1">_xll.SNL.Clients.Office.Excel.Functions.SPG(A599, "SP_TOTAL_DEBT", "LTM")</f>
        <v>#NAME?</v>
      </c>
      <c r="S599" s="8" t="e">
        <f ca="1">_xll.SNL.Clients.Office.Excel.Functions.SPG(A599, "SP_DEBT_TO_EQUITY", "LTM")</f>
        <v>#NAME?</v>
      </c>
      <c r="U599" s="9" t="e">
        <f t="shared" ca="1" si="9"/>
        <v>#NAME?</v>
      </c>
      <c r="Y599" s="1"/>
      <c r="Z599" s="1"/>
      <c r="AA599" s="10"/>
      <c r="AB599" s="1" t="s">
        <v>1247</v>
      </c>
      <c r="AC599" s="1" t="s">
        <v>580</v>
      </c>
      <c r="AD599" s="10">
        <v>1687.1562733400001</v>
      </c>
      <c r="AE599" s="1" t="s">
        <v>25</v>
      </c>
    </row>
    <row r="600" spans="1:31" x14ac:dyDescent="0.2">
      <c r="A600" s="1" t="s">
        <v>1248</v>
      </c>
      <c r="B600" s="2" t="s">
        <v>1408</v>
      </c>
      <c r="C600" s="3">
        <v>-19.548872180451099</v>
      </c>
      <c r="D600" s="2">
        <v>-0.20599999999999999</v>
      </c>
      <c r="E600" s="2">
        <v>17.371494999999999</v>
      </c>
      <c r="F600" s="4" t="s">
        <v>1408</v>
      </c>
      <c r="G600" s="4">
        <v>9.8478243744094094</v>
      </c>
      <c r="H600" s="2" t="s">
        <v>1408</v>
      </c>
      <c r="I600" s="4" t="s">
        <v>1408</v>
      </c>
      <c r="J600" s="4" t="s">
        <v>1408</v>
      </c>
      <c r="K600" s="4">
        <v>1.6822410000000001</v>
      </c>
      <c r="L600" s="4" t="s">
        <v>1408</v>
      </c>
      <c r="N600" s="5" t="s">
        <v>1408</v>
      </c>
      <c r="O600" s="5">
        <v>522536</v>
      </c>
      <c r="P600" s="6" t="e">
        <v>#VALUE!</v>
      </c>
      <c r="Q600" s="1"/>
      <c r="R600" s="7" t="e">
        <f ca="1">_xll.SNL.Clients.Office.Excel.Functions.SPG(A600, "SP_TOTAL_DEBT", "LTM")</f>
        <v>#NAME?</v>
      </c>
      <c r="S600" s="8" t="e">
        <f ca="1">_xll.SNL.Clients.Office.Excel.Functions.SPG(A600, "SP_DEBT_TO_EQUITY", "LTM")</f>
        <v>#NAME?</v>
      </c>
      <c r="U600" s="9" t="e">
        <f t="shared" ca="1" si="9"/>
        <v>#VALUE!</v>
      </c>
      <c r="Y600" s="1"/>
      <c r="Z600" s="1"/>
      <c r="AA600" s="10"/>
      <c r="AB600" s="1" t="s">
        <v>1249</v>
      </c>
      <c r="AC600" s="1" t="s">
        <v>174</v>
      </c>
      <c r="AD600" s="10">
        <v>7372.4728999999998</v>
      </c>
      <c r="AE600" s="1" t="s">
        <v>25</v>
      </c>
    </row>
    <row r="601" spans="1:31" x14ac:dyDescent="0.2">
      <c r="A601" s="1" t="s">
        <v>1250</v>
      </c>
      <c r="B601" s="2" t="s">
        <v>1408</v>
      </c>
      <c r="C601" s="3">
        <v>14.3302180685358</v>
      </c>
      <c r="D601" s="2">
        <v>4.3109999999999999</v>
      </c>
      <c r="E601" s="2">
        <v>12.619306</v>
      </c>
      <c r="F601" s="4">
        <v>1.3759999999999999</v>
      </c>
      <c r="G601" s="4">
        <v>13.44173414688</v>
      </c>
      <c r="H601" s="2" t="s">
        <v>1408</v>
      </c>
      <c r="I601" s="4" t="s">
        <v>1408</v>
      </c>
      <c r="J601" s="4">
        <v>40.633225960321099</v>
      </c>
      <c r="K601" s="4">
        <v>1.590676</v>
      </c>
      <c r="L601" s="4" t="s">
        <v>1408</v>
      </c>
      <c r="N601" s="5" t="s">
        <v>1408</v>
      </c>
      <c r="O601" s="5">
        <v>107748</v>
      </c>
      <c r="P601" s="6" t="e">
        <v>#VALUE!</v>
      </c>
      <c r="Q601" s="1"/>
      <c r="R601" s="7" t="e">
        <f ca="1">_xll.SNL.Clients.Office.Excel.Functions.SPG(A601, "SP_TOTAL_DEBT", "LTM")</f>
        <v>#NAME?</v>
      </c>
      <c r="S601" s="8" t="e">
        <f ca="1">_xll.SNL.Clients.Office.Excel.Functions.SPG(A601, "SP_DEBT_TO_EQUITY", "LTM")</f>
        <v>#NAME?</v>
      </c>
      <c r="U601" s="9" t="e">
        <f t="shared" ca="1" si="9"/>
        <v>#VALUE!</v>
      </c>
      <c r="Y601" s="1"/>
      <c r="Z601" s="1"/>
      <c r="AA601" s="10"/>
      <c r="AB601" s="1" t="s">
        <v>1251</v>
      </c>
      <c r="AC601" s="1" t="s">
        <v>34</v>
      </c>
      <c r="AD601" s="10">
        <v>1457.8846194</v>
      </c>
      <c r="AE601" s="1" t="s">
        <v>25</v>
      </c>
    </row>
    <row r="602" spans="1:31" x14ac:dyDescent="0.2">
      <c r="A602" s="1" t="s">
        <v>1252</v>
      </c>
      <c r="B602" s="2">
        <v>10.426</v>
      </c>
      <c r="C602" s="3" t="s">
        <v>1409</v>
      </c>
      <c r="D602" s="2">
        <v>58.82</v>
      </c>
      <c r="E602" s="2">
        <v>28.320972000000001</v>
      </c>
      <c r="F602" s="4">
        <v>7.0750000000000002</v>
      </c>
      <c r="G602" s="4">
        <v>-4.0431980668542797</v>
      </c>
      <c r="H602" s="2">
        <v>1.27</v>
      </c>
      <c r="I602" s="4">
        <v>0.26700000000000002</v>
      </c>
      <c r="J602" s="4" t="s">
        <v>1408</v>
      </c>
      <c r="K602" s="4">
        <v>1.992348</v>
      </c>
      <c r="L602" s="4">
        <v>5.0942910000000001</v>
      </c>
      <c r="N602" s="5">
        <v>3240640.625</v>
      </c>
      <c r="O602" s="5">
        <v>1023072</v>
      </c>
      <c r="P602" s="6">
        <v>3.1675587104328922</v>
      </c>
      <c r="Q602" s="1"/>
      <c r="R602" s="7" t="e">
        <f ca="1">_xll.SNL.Clients.Office.Excel.Functions.SPG(A602, "SP_TOTAL_DEBT", "LTM")</f>
        <v>#NAME?</v>
      </c>
      <c r="S602" s="8" t="e">
        <f ca="1">_xll.SNL.Clients.Office.Excel.Functions.SPG(A602, "SP_DEBT_TO_EQUITY", "LTM")</f>
        <v>#NAME?</v>
      </c>
      <c r="U602" s="9" t="e">
        <f t="shared" ca="1" si="9"/>
        <v>#NAME?</v>
      </c>
      <c r="Y602" s="1"/>
      <c r="Z602" s="1"/>
      <c r="AA602" s="10"/>
      <c r="AB602" s="1" t="s">
        <v>1253</v>
      </c>
      <c r="AC602" s="1" t="s">
        <v>167</v>
      </c>
      <c r="AD602" s="10">
        <v>5302.4716126800004</v>
      </c>
      <c r="AE602" s="1" t="s">
        <v>42</v>
      </c>
    </row>
    <row r="603" spans="1:31" x14ac:dyDescent="0.2">
      <c r="A603" s="1" t="s">
        <v>1254</v>
      </c>
      <c r="B603" s="2" t="s">
        <v>1408</v>
      </c>
      <c r="C603" s="3">
        <v>11.6883122721435</v>
      </c>
      <c r="D603" s="2">
        <v>-8.8970000000000002</v>
      </c>
      <c r="E603" s="2">
        <v>9.1463579999999993</v>
      </c>
      <c r="F603" s="4">
        <v>1.0720000000000001</v>
      </c>
      <c r="G603" s="4">
        <v>19.475747182753601</v>
      </c>
      <c r="H603" s="2">
        <v>1.53</v>
      </c>
      <c r="I603" s="4">
        <v>3.0859999999999999</v>
      </c>
      <c r="J603" s="4" t="s">
        <v>1408</v>
      </c>
      <c r="K603" s="4">
        <v>1.339151</v>
      </c>
      <c r="L603" s="4" t="s">
        <v>1408</v>
      </c>
      <c r="N603" s="5" t="s">
        <v>1408</v>
      </c>
      <c r="O603" s="5">
        <v>231000</v>
      </c>
      <c r="P603" s="6" t="e">
        <v>#VALUE!</v>
      </c>
      <c r="Q603" s="1"/>
      <c r="R603" s="7" t="e">
        <f ca="1">_xll.SNL.Clients.Office.Excel.Functions.SPG(A603, "SP_TOTAL_DEBT", "LTM")</f>
        <v>#NAME?</v>
      </c>
      <c r="S603" s="8" t="e">
        <f ca="1">_xll.SNL.Clients.Office.Excel.Functions.SPG(A603, "SP_DEBT_TO_EQUITY", "LTM")</f>
        <v>#NAME?</v>
      </c>
      <c r="U603" s="9" t="e">
        <f t="shared" ca="1" si="9"/>
        <v>#VALUE!</v>
      </c>
      <c r="Y603" s="1"/>
      <c r="Z603" s="1"/>
      <c r="AA603" s="10"/>
      <c r="AB603" s="1" t="s">
        <v>1255</v>
      </c>
      <c r="AC603" s="1" t="s">
        <v>174</v>
      </c>
      <c r="AD603" s="10">
        <v>2059.8574225000002</v>
      </c>
      <c r="AE603" s="1" t="s">
        <v>25</v>
      </c>
    </row>
    <row r="604" spans="1:31" x14ac:dyDescent="0.2">
      <c r="A604" s="1" t="s">
        <v>1256</v>
      </c>
      <c r="B604" s="2" t="s">
        <v>1408</v>
      </c>
      <c r="C604" s="3">
        <v>-6.6176470588235299</v>
      </c>
      <c r="D604" s="2">
        <v>17.837</v>
      </c>
      <c r="E604" s="2">
        <v>7.2572179999999999</v>
      </c>
      <c r="F604" s="4">
        <v>1.292</v>
      </c>
      <c r="G604" s="4">
        <v>13.694306992056999</v>
      </c>
      <c r="H604" s="2" t="s">
        <v>1408</v>
      </c>
      <c r="I604" s="4" t="s">
        <v>1408</v>
      </c>
      <c r="J604" s="4">
        <v>43.155093207361702</v>
      </c>
      <c r="K604" s="4">
        <v>0.95463299999999995</v>
      </c>
      <c r="L604" s="4" t="s">
        <v>1408</v>
      </c>
      <c r="N604" s="5" t="s">
        <v>1408</v>
      </c>
      <c r="O604" s="5">
        <v>55239</v>
      </c>
      <c r="P604" s="6" t="e">
        <v>#VALUE!</v>
      </c>
      <c r="Q604" s="1"/>
      <c r="R604" s="7" t="e">
        <f ca="1">_xll.SNL.Clients.Office.Excel.Functions.SPG(A604, "SP_TOTAL_DEBT", "LTM")</f>
        <v>#NAME?</v>
      </c>
      <c r="S604" s="8" t="e">
        <f ca="1">_xll.SNL.Clients.Office.Excel.Functions.SPG(A604, "SP_DEBT_TO_EQUITY", "LTM")</f>
        <v>#NAME?</v>
      </c>
      <c r="U604" s="9" t="e">
        <f t="shared" ca="1" si="9"/>
        <v>#VALUE!</v>
      </c>
      <c r="Y604" s="1"/>
      <c r="Z604" s="1"/>
      <c r="AA604" s="10"/>
      <c r="AB604" s="1" t="s">
        <v>1257</v>
      </c>
      <c r="AC604" s="1" t="s">
        <v>34</v>
      </c>
      <c r="AD604" s="10">
        <v>415.39499853000001</v>
      </c>
      <c r="AE604" s="1" t="s">
        <v>25</v>
      </c>
    </row>
    <row r="605" spans="1:31" x14ac:dyDescent="0.2">
      <c r="A605" s="1" t="s">
        <v>1258</v>
      </c>
      <c r="B605" s="2">
        <v>6.04</v>
      </c>
      <c r="C605" s="3">
        <v>-26.905829596412602</v>
      </c>
      <c r="D605" s="2">
        <v>-34.65</v>
      </c>
      <c r="E605" s="2">
        <v>11.239642999999999</v>
      </c>
      <c r="F605" s="4">
        <v>0.98599999999999999</v>
      </c>
      <c r="G605" s="4">
        <v>13.5299867116202</v>
      </c>
      <c r="H605" s="2">
        <v>56.902000000000001</v>
      </c>
      <c r="I605" s="4">
        <v>8.3000000000000004E-2</v>
      </c>
      <c r="J605" s="4" t="s">
        <v>1408</v>
      </c>
      <c r="K605" s="4">
        <v>1.927691</v>
      </c>
      <c r="L605" s="4">
        <v>7.5006180000000002</v>
      </c>
      <c r="N605" s="5">
        <v>8434250</v>
      </c>
      <c r="O605" s="5">
        <v>3793000</v>
      </c>
      <c r="P605" s="6">
        <v>2.2236356446084895</v>
      </c>
      <c r="Q605" s="1"/>
      <c r="R605" s="7" t="e">
        <f ca="1">_xll.SNL.Clients.Office.Excel.Functions.SPG(A605, "SP_TOTAL_DEBT", "LTM")</f>
        <v>#NAME?</v>
      </c>
      <c r="S605" s="8" t="e">
        <f ca="1">_xll.SNL.Clients.Office.Excel.Functions.SPG(A605, "SP_DEBT_TO_EQUITY", "LTM")</f>
        <v>#NAME?</v>
      </c>
      <c r="U605" s="9" t="e">
        <f t="shared" ca="1" si="9"/>
        <v>#NAME?</v>
      </c>
      <c r="Y605" s="1"/>
      <c r="Z605" s="1"/>
      <c r="AA605" s="10"/>
      <c r="AB605" s="1" t="s">
        <v>1259</v>
      </c>
      <c r="AC605" s="1" t="s">
        <v>60</v>
      </c>
      <c r="AD605" s="10">
        <v>30452.398029501699</v>
      </c>
      <c r="AE605" s="1" t="s">
        <v>25</v>
      </c>
    </row>
    <row r="606" spans="1:31" x14ac:dyDescent="0.2">
      <c r="A606" s="1" t="s">
        <v>1260</v>
      </c>
      <c r="B606" s="2" t="s">
        <v>1408</v>
      </c>
      <c r="C606" s="3">
        <v>-15.609756097561</v>
      </c>
      <c r="D606" s="2">
        <v>-7.6760000000000002</v>
      </c>
      <c r="E606" s="2">
        <v>7.4739880000000003</v>
      </c>
      <c r="F606" s="4">
        <v>2.016</v>
      </c>
      <c r="G606" s="4">
        <v>16.372814397541902</v>
      </c>
      <c r="H606" s="2" t="s">
        <v>1408</v>
      </c>
      <c r="I606" s="4" t="s">
        <v>1408</v>
      </c>
      <c r="J606" s="4">
        <v>21.310633301533699</v>
      </c>
      <c r="K606" s="4">
        <v>1.1985539999999999</v>
      </c>
      <c r="L606" s="4" t="s">
        <v>1408</v>
      </c>
      <c r="N606" s="5" t="s">
        <v>1408</v>
      </c>
      <c r="O606" s="5">
        <v>2238000</v>
      </c>
      <c r="P606" s="6" t="e">
        <v>#VALUE!</v>
      </c>
      <c r="Q606" s="1"/>
      <c r="R606" s="7" t="e">
        <f ca="1">_xll.SNL.Clients.Office.Excel.Functions.SPG(A606, "SP_TOTAL_DEBT", "LTM")</f>
        <v>#NAME?</v>
      </c>
      <c r="S606" s="8" t="e">
        <f ca="1">_xll.SNL.Clients.Office.Excel.Functions.SPG(A606, "SP_DEBT_TO_EQUITY", "LTM")</f>
        <v>#NAME?</v>
      </c>
      <c r="U606" s="9" t="e">
        <f t="shared" ca="1" si="9"/>
        <v>#VALUE!</v>
      </c>
      <c r="Y606" s="1"/>
      <c r="Z606" s="1"/>
      <c r="AA606" s="10"/>
      <c r="AB606" s="1" t="s">
        <v>1261</v>
      </c>
      <c r="AC606" s="1" t="s">
        <v>161</v>
      </c>
      <c r="AD606" s="10">
        <v>15816.203</v>
      </c>
      <c r="AE606" s="1" t="s">
        <v>25</v>
      </c>
    </row>
    <row r="607" spans="1:31" x14ac:dyDescent="0.2">
      <c r="A607" s="1" t="s">
        <v>1262</v>
      </c>
      <c r="B607" s="2" t="s">
        <v>1408</v>
      </c>
      <c r="C607" s="3">
        <v>-30.1010101010101</v>
      </c>
      <c r="D607" s="2">
        <v>-4.2469999999999999</v>
      </c>
      <c r="E607" s="2">
        <v>10.216763</v>
      </c>
      <c r="F607" s="4">
        <v>0.90700000000000003</v>
      </c>
      <c r="G607" s="4">
        <v>11.458501317702</v>
      </c>
      <c r="H607" s="2" t="s">
        <v>1408</v>
      </c>
      <c r="I607" s="4" t="s">
        <v>1408</v>
      </c>
      <c r="J607" s="4">
        <v>38.5800375756683</v>
      </c>
      <c r="K607" s="4">
        <v>1.1316349999999999</v>
      </c>
      <c r="L607" s="4" t="s">
        <v>1408</v>
      </c>
      <c r="N607" s="5" t="s">
        <v>1408</v>
      </c>
      <c r="O607" s="5">
        <v>542141</v>
      </c>
      <c r="P607" s="6" t="e">
        <v>#VALUE!</v>
      </c>
      <c r="Q607" s="1"/>
      <c r="R607" s="7" t="e">
        <f ca="1">_xll.SNL.Clients.Office.Excel.Functions.SPG(A607, "SP_TOTAL_DEBT", "LTM")</f>
        <v>#NAME?</v>
      </c>
      <c r="S607" s="8" t="e">
        <f ca="1">_xll.SNL.Clients.Office.Excel.Functions.SPG(A607, "SP_DEBT_TO_EQUITY", "LTM")</f>
        <v>#NAME?</v>
      </c>
      <c r="U607" s="9" t="e">
        <f t="shared" ca="1" si="9"/>
        <v>#VALUE!</v>
      </c>
      <c r="Y607" s="1"/>
      <c r="Z607" s="1"/>
      <c r="AA607" s="10"/>
      <c r="AB607" s="1" t="s">
        <v>1263</v>
      </c>
      <c r="AC607" s="1" t="s">
        <v>34</v>
      </c>
      <c r="AD607" s="10">
        <v>5524.9227277999998</v>
      </c>
      <c r="AE607" s="1" t="s">
        <v>25</v>
      </c>
    </row>
    <row r="608" spans="1:31" x14ac:dyDescent="0.2">
      <c r="A608" s="1" t="s">
        <v>1264</v>
      </c>
      <c r="B608" s="2">
        <v>15.052</v>
      </c>
      <c r="C608" s="3">
        <v>-48.932926829268297</v>
      </c>
      <c r="D608" s="2">
        <v>-15.427</v>
      </c>
      <c r="E608" s="2">
        <v>15.537496000000001</v>
      </c>
      <c r="F608" s="4">
        <v>10.321999999999999</v>
      </c>
      <c r="G608" s="4">
        <v>15.7715647261382</v>
      </c>
      <c r="H608" s="2">
        <v>1.724</v>
      </c>
      <c r="I608" s="4">
        <v>0.51700000000000002</v>
      </c>
      <c r="J608" s="4" t="s">
        <v>1408</v>
      </c>
      <c r="K608" s="4">
        <v>2.5916769999999998</v>
      </c>
      <c r="L608" s="4">
        <v>8.8865949999999998</v>
      </c>
      <c r="N608" s="5">
        <v>1891362.5</v>
      </c>
      <c r="O608" s="5">
        <v>1651700</v>
      </c>
      <c r="P608" s="6">
        <v>1.1451005025125629</v>
      </c>
      <c r="Q608" s="1"/>
      <c r="R608" s="7" t="e">
        <f ca="1">_xll.SNL.Clients.Office.Excel.Functions.SPG(A608, "SP_TOTAL_DEBT", "LTM")</f>
        <v>#NAME?</v>
      </c>
      <c r="S608" s="8" t="e">
        <f ca="1">_xll.SNL.Clients.Office.Excel.Functions.SPG(A608, "SP_DEBT_TO_EQUITY", "LTM")</f>
        <v>#NAME?</v>
      </c>
      <c r="U608" s="9" t="e">
        <f t="shared" ca="1" si="9"/>
        <v>#NAME?</v>
      </c>
      <c r="Y608" s="1"/>
      <c r="Z608" s="1"/>
      <c r="AA608" s="10"/>
      <c r="AB608" s="1" t="s">
        <v>1265</v>
      </c>
      <c r="AC608" s="1" t="s">
        <v>37</v>
      </c>
      <c r="AD608" s="10">
        <v>24235.3566378</v>
      </c>
      <c r="AE608" s="1" t="s">
        <v>25</v>
      </c>
    </row>
    <row r="609" spans="1:31" x14ac:dyDescent="0.2">
      <c r="A609" s="1" t="s">
        <v>1266</v>
      </c>
      <c r="B609" s="2" t="s">
        <v>1408</v>
      </c>
      <c r="C609" s="3">
        <v>-42.7184466019417</v>
      </c>
      <c r="D609" s="2">
        <v>-13.435</v>
      </c>
      <c r="E609" s="2">
        <v>16.69209</v>
      </c>
      <c r="F609" s="4">
        <v>0.66600000000000004</v>
      </c>
      <c r="G609" s="4">
        <v>6.1115969637343603</v>
      </c>
      <c r="H609" s="2" t="s">
        <v>1408</v>
      </c>
      <c r="I609" s="4" t="s">
        <v>1408</v>
      </c>
      <c r="J609" s="4" t="s">
        <v>1408</v>
      </c>
      <c r="K609" s="4">
        <v>0.96280100000000002</v>
      </c>
      <c r="L609" s="4" t="s">
        <v>1408</v>
      </c>
      <c r="N609" s="5" t="s">
        <v>1408</v>
      </c>
      <c r="O609" s="5">
        <v>189141</v>
      </c>
      <c r="P609" s="6" t="e">
        <v>#VALUE!</v>
      </c>
      <c r="Q609" s="1"/>
      <c r="R609" s="7" t="e">
        <f ca="1">_xll.SNL.Clients.Office.Excel.Functions.SPG(A609, "SP_TOTAL_DEBT", "LTM")</f>
        <v>#NAME?</v>
      </c>
      <c r="S609" s="8" t="e">
        <f ca="1">_xll.SNL.Clients.Office.Excel.Functions.SPG(A609, "SP_DEBT_TO_EQUITY", "LTM")</f>
        <v>#NAME?</v>
      </c>
      <c r="U609" s="9" t="e">
        <f t="shared" ca="1" si="9"/>
        <v>#VALUE!</v>
      </c>
      <c r="Y609" s="1"/>
      <c r="Z609" s="1"/>
      <c r="AA609" s="10"/>
      <c r="AB609" s="1" t="s">
        <v>1267</v>
      </c>
      <c r="AC609" s="1" t="s">
        <v>34</v>
      </c>
      <c r="AD609" s="10">
        <v>2881.5126319999999</v>
      </c>
      <c r="AE609" s="1" t="s">
        <v>25</v>
      </c>
    </row>
    <row r="610" spans="1:31" x14ac:dyDescent="0.2">
      <c r="A610" s="1" t="s">
        <v>1268</v>
      </c>
      <c r="B610" s="2" t="s">
        <v>1408</v>
      </c>
      <c r="C610" s="3">
        <v>0</v>
      </c>
      <c r="D610" s="2">
        <v>5.6150000000000002</v>
      </c>
      <c r="E610" s="2">
        <v>52.04</v>
      </c>
      <c r="F610" s="4">
        <v>0.44500000000000001</v>
      </c>
      <c r="G610" s="4">
        <v>3.99990219508254</v>
      </c>
      <c r="H610" s="2" t="s">
        <v>1408</v>
      </c>
      <c r="I610" s="4" t="s">
        <v>1408</v>
      </c>
      <c r="J610" s="4">
        <v>30.4499665099354</v>
      </c>
      <c r="K610" s="4">
        <v>1.9362999999999999</v>
      </c>
      <c r="L610" s="4" t="s">
        <v>1408</v>
      </c>
      <c r="N610" s="5" t="s">
        <v>1408</v>
      </c>
      <c r="O610" s="5">
        <v>73764</v>
      </c>
      <c r="P610" s="6" t="e">
        <v>#VALUE!</v>
      </c>
      <c r="Q610" s="1"/>
      <c r="R610" s="7" t="e">
        <f ca="1">_xll.SNL.Clients.Office.Excel.Functions.SPG(A610, "SP_TOTAL_DEBT", "LTM")</f>
        <v>#NAME?</v>
      </c>
      <c r="S610" s="8" t="e">
        <f ca="1">_xll.SNL.Clients.Office.Excel.Functions.SPG(A610, "SP_DEBT_TO_EQUITY", "LTM")</f>
        <v>#NAME?</v>
      </c>
      <c r="U610" s="9" t="e">
        <f t="shared" ca="1" si="9"/>
        <v>#VALUE!</v>
      </c>
      <c r="Y610" s="1"/>
      <c r="Z610" s="1"/>
      <c r="AA610" s="10"/>
      <c r="AB610" s="1" t="s">
        <v>1269</v>
      </c>
      <c r="AC610" s="1" t="s">
        <v>34</v>
      </c>
      <c r="AD610" s="10">
        <v>3698.3086826399999</v>
      </c>
      <c r="AE610" s="1" t="s">
        <v>25</v>
      </c>
    </row>
    <row r="611" spans="1:31" x14ac:dyDescent="0.2">
      <c r="A611" s="1" t="s">
        <v>1270</v>
      </c>
      <c r="B611" s="2">
        <v>-3.1070000000000002</v>
      </c>
      <c r="C611" s="3" t="s">
        <v>1409</v>
      </c>
      <c r="D611" s="2">
        <v>1.629</v>
      </c>
      <c r="E611" s="2" t="s">
        <v>1409</v>
      </c>
      <c r="F611" s="4">
        <v>-1.3149999999999999</v>
      </c>
      <c r="G611" s="4">
        <v>-6.5631495292823097</v>
      </c>
      <c r="H611" s="2">
        <v>0.36099999999999999</v>
      </c>
      <c r="I611" s="4">
        <v>0.56200000000000006</v>
      </c>
      <c r="J611" s="4" t="s">
        <v>1408</v>
      </c>
      <c r="K611" s="4">
        <v>3.2739639999999999</v>
      </c>
      <c r="L611" s="4" t="s">
        <v>1409</v>
      </c>
      <c r="N611" s="5">
        <v>6643500</v>
      </c>
      <c r="O611" s="5">
        <v>-1996000</v>
      </c>
      <c r="P611" s="6">
        <v>-3.3284068136272547</v>
      </c>
      <c r="Q611" s="1"/>
      <c r="R611" s="7" t="e">
        <f ca="1">_xll.SNL.Clients.Office.Excel.Functions.SPG(A611, "SP_TOTAL_DEBT", "LTM")</f>
        <v>#NAME?</v>
      </c>
      <c r="S611" s="8" t="e">
        <f ca="1">_xll.SNL.Clients.Office.Excel.Functions.SPG(A611, "SP_DEBT_TO_EQUITY", "LTM")</f>
        <v>#NAME?</v>
      </c>
      <c r="U611" s="9" t="e">
        <f t="shared" ca="1" si="9"/>
        <v>#NAME?</v>
      </c>
      <c r="Y611" s="1"/>
      <c r="Z611" s="1"/>
      <c r="AA611" s="10"/>
      <c r="AB611" s="1" t="s">
        <v>1271</v>
      </c>
      <c r="AC611" s="1" t="s">
        <v>95</v>
      </c>
      <c r="AD611" s="10">
        <v>40626.916685999997</v>
      </c>
      <c r="AE611" s="1" t="s">
        <v>25</v>
      </c>
    </row>
    <row r="612" spans="1:31" x14ac:dyDescent="0.2">
      <c r="A612" s="1" t="s">
        <v>1272</v>
      </c>
      <c r="B612" s="2" t="s">
        <v>1408</v>
      </c>
      <c r="C612" s="3">
        <v>53.744493392070503</v>
      </c>
      <c r="D612" s="2">
        <v>28.899000000000001</v>
      </c>
      <c r="E612" s="2">
        <v>12.163323999999999</v>
      </c>
      <c r="F612" s="4">
        <v>2.464</v>
      </c>
      <c r="G612" s="4">
        <v>25.617060277943601</v>
      </c>
      <c r="H612" s="2" t="s">
        <v>1408</v>
      </c>
      <c r="I612" s="4" t="s">
        <v>1408</v>
      </c>
      <c r="J612" s="4" t="s">
        <v>1408</v>
      </c>
      <c r="K612" s="4">
        <v>2.7975479999999999</v>
      </c>
      <c r="L612" s="4" t="s">
        <v>1408</v>
      </c>
      <c r="N612" s="5" t="s">
        <v>1408</v>
      </c>
      <c r="O612" s="5">
        <v>192296</v>
      </c>
      <c r="P612" s="6" t="e">
        <v>#VALUE!</v>
      </c>
      <c r="Q612" s="1"/>
      <c r="R612" s="7" t="e">
        <f ca="1">_xll.SNL.Clients.Office.Excel.Functions.SPG(A612, "SP_TOTAL_DEBT", "LTM")</f>
        <v>#NAME?</v>
      </c>
      <c r="S612" s="8" t="e">
        <f ca="1">_xll.SNL.Clients.Office.Excel.Functions.SPG(A612, "SP_DEBT_TO_EQUITY", "LTM")</f>
        <v>#NAME?</v>
      </c>
      <c r="U612" s="9" t="e">
        <f t="shared" ca="1" si="9"/>
        <v>#VALUE!</v>
      </c>
      <c r="Y612" s="1"/>
      <c r="Z612" s="1"/>
      <c r="AA612" s="10"/>
      <c r="AB612" s="1" t="s">
        <v>1273</v>
      </c>
      <c r="AC612" s="1" t="s">
        <v>34</v>
      </c>
      <c r="AD612" s="10">
        <v>2321.7627732000001</v>
      </c>
      <c r="AE612" s="1" t="s">
        <v>25</v>
      </c>
    </row>
    <row r="613" spans="1:31" x14ac:dyDescent="0.2">
      <c r="A613" s="1" t="s">
        <v>1274</v>
      </c>
      <c r="B613" s="2" t="s">
        <v>1408</v>
      </c>
      <c r="C613" s="3">
        <v>31.608173382055099</v>
      </c>
      <c r="D613" s="2">
        <v>9.93</v>
      </c>
      <c r="E613" s="2">
        <v>6.2182199999999996</v>
      </c>
      <c r="F613" s="4">
        <v>1.7490000000000001</v>
      </c>
      <c r="G613" s="4">
        <v>25.783616163611899</v>
      </c>
      <c r="H613" s="2" t="s">
        <v>1408</v>
      </c>
      <c r="I613" s="4" t="s">
        <v>1408</v>
      </c>
      <c r="J613" s="4">
        <v>41.881574685011799</v>
      </c>
      <c r="K613" s="4">
        <v>1.5286459999999999</v>
      </c>
      <c r="L613" s="4" t="s">
        <v>1408</v>
      </c>
      <c r="N613" s="5" t="s">
        <v>1408</v>
      </c>
      <c r="O613" s="5">
        <v>235059</v>
      </c>
      <c r="P613" s="6" t="e">
        <v>#VALUE!</v>
      </c>
      <c r="Q613" s="1"/>
      <c r="R613" s="7" t="e">
        <f ca="1">_xll.SNL.Clients.Office.Excel.Functions.SPG(A613, "SP_TOTAL_DEBT", "LTM")</f>
        <v>#NAME?</v>
      </c>
      <c r="S613" s="8" t="e">
        <f ca="1">_xll.SNL.Clients.Office.Excel.Functions.SPG(A613, "SP_DEBT_TO_EQUITY", "LTM")</f>
        <v>#NAME?</v>
      </c>
      <c r="U613" s="9" t="e">
        <f t="shared" ca="1" si="9"/>
        <v>#VALUE!</v>
      </c>
      <c r="Y613" s="1"/>
      <c r="Z613" s="1"/>
      <c r="AA613" s="10"/>
      <c r="AB613" s="1" t="s">
        <v>1275</v>
      </c>
      <c r="AC613" s="1" t="s">
        <v>34</v>
      </c>
      <c r="AD613" s="10">
        <v>1457.98502859</v>
      </c>
      <c r="AE613" s="1" t="s">
        <v>25</v>
      </c>
    </row>
    <row r="614" spans="1:31" x14ac:dyDescent="0.2">
      <c r="A614" s="1" t="s">
        <v>1276</v>
      </c>
      <c r="B614" s="2" t="s">
        <v>1408</v>
      </c>
      <c r="C614" s="3">
        <v>37.931034482758598</v>
      </c>
      <c r="D614" s="2">
        <v>6.3959999999999999</v>
      </c>
      <c r="E614" s="2">
        <v>13.765000000000001</v>
      </c>
      <c r="F614" s="4">
        <v>0.83</v>
      </c>
      <c r="G614" s="4">
        <v>8.3045576933692296</v>
      </c>
      <c r="H614" s="2" t="s">
        <v>1408</v>
      </c>
      <c r="I614" s="4" t="s">
        <v>1408</v>
      </c>
      <c r="J614" s="4">
        <v>27.866817155756198</v>
      </c>
      <c r="K614" s="4">
        <v>1.1414709999999999</v>
      </c>
      <c r="L614" s="4" t="s">
        <v>1408</v>
      </c>
      <c r="N614" s="5" t="s">
        <v>1408</v>
      </c>
      <c r="O614" s="5">
        <v>3385000</v>
      </c>
      <c r="P614" s="6" t="e">
        <v>#VALUE!</v>
      </c>
      <c r="Q614" s="1"/>
      <c r="R614" s="7" t="e">
        <f ca="1">_xll.SNL.Clients.Office.Excel.Functions.SPG(A614, "SP_TOTAL_DEBT", "LTM")</f>
        <v>#NAME?</v>
      </c>
      <c r="S614" s="8" t="e">
        <f ca="1">_xll.SNL.Clients.Office.Excel.Functions.SPG(A614, "SP_DEBT_TO_EQUITY", "LTM")</f>
        <v>#NAME?</v>
      </c>
      <c r="U614" s="9" t="e">
        <f t="shared" ca="1" si="9"/>
        <v>#VALUE!</v>
      </c>
      <c r="Y614" s="1"/>
      <c r="Z614" s="1"/>
      <c r="AA614" s="10"/>
      <c r="AB614" s="1" t="s">
        <v>1277</v>
      </c>
      <c r="AC614" s="1" t="s">
        <v>37</v>
      </c>
      <c r="AD614" s="10">
        <v>42113.218240000002</v>
      </c>
      <c r="AE614" s="1" t="s">
        <v>25</v>
      </c>
    </row>
    <row r="615" spans="1:31" x14ac:dyDescent="0.2">
      <c r="A615" s="1" t="s">
        <v>1278</v>
      </c>
      <c r="B615" s="2" t="s">
        <v>1408</v>
      </c>
      <c r="C615" s="3" t="s">
        <v>1409</v>
      </c>
      <c r="D615" s="2">
        <v>-41.191000000000003</v>
      </c>
      <c r="E615" s="2">
        <v>69.965636000000003</v>
      </c>
      <c r="F615" s="4">
        <v>-2.3330000000000002</v>
      </c>
      <c r="G615" s="4">
        <v>-7.5647849892247097</v>
      </c>
      <c r="H615" s="2">
        <v>0.499</v>
      </c>
      <c r="I615" s="4">
        <v>0.114</v>
      </c>
      <c r="J615" s="4" t="s">
        <v>1408</v>
      </c>
      <c r="K615" s="4">
        <v>2.4811109999999998</v>
      </c>
      <c r="L615" s="4" t="s">
        <v>1408</v>
      </c>
      <c r="N615" s="5" t="s">
        <v>1408</v>
      </c>
      <c r="O615" s="5">
        <v>-496700</v>
      </c>
      <c r="P615" s="6" t="e">
        <v>#VALUE!</v>
      </c>
      <c r="Q615" s="1"/>
      <c r="R615" s="7" t="e">
        <f ca="1">_xll.SNL.Clients.Office.Excel.Functions.SPG(A615, "SP_TOTAL_DEBT", "LTM")</f>
        <v>#NAME?</v>
      </c>
      <c r="S615" s="8" t="e">
        <f ca="1">_xll.SNL.Clients.Office.Excel.Functions.SPG(A615, "SP_DEBT_TO_EQUITY", "LTM")</f>
        <v>#NAME?</v>
      </c>
      <c r="U615" s="9" t="e">
        <f t="shared" ca="1" si="9"/>
        <v>#VALUE!</v>
      </c>
      <c r="Y615" s="1"/>
      <c r="Z615" s="1"/>
      <c r="AA615" s="10"/>
      <c r="AB615" s="1" t="s">
        <v>1279</v>
      </c>
      <c r="AC615" s="1" t="s">
        <v>37</v>
      </c>
      <c r="AD615" s="10">
        <v>14439.04183296</v>
      </c>
      <c r="AE615" s="1" t="s">
        <v>25</v>
      </c>
    </row>
    <row r="616" spans="1:31" x14ac:dyDescent="0.2">
      <c r="A616" s="1" t="s">
        <v>1280</v>
      </c>
      <c r="B616" s="2" t="s">
        <v>1408</v>
      </c>
      <c r="C616" s="3">
        <v>-15.845070422535199</v>
      </c>
      <c r="D616" s="2">
        <v>35.834000000000003</v>
      </c>
      <c r="E616" s="2">
        <v>10.087866</v>
      </c>
      <c r="F616" s="4">
        <v>1.044</v>
      </c>
      <c r="G616" s="4">
        <v>8.4377989507684195</v>
      </c>
      <c r="H616" s="2" t="s">
        <v>1408</v>
      </c>
      <c r="I616" s="4" t="s">
        <v>1408</v>
      </c>
      <c r="J616" s="4">
        <v>37.807526508932199</v>
      </c>
      <c r="K616" s="4">
        <v>0.79771000000000003</v>
      </c>
      <c r="L616" s="4" t="s">
        <v>1408</v>
      </c>
      <c r="N616" s="5" t="s">
        <v>1408</v>
      </c>
      <c r="O616" s="5">
        <v>75457</v>
      </c>
      <c r="P616" s="6" t="e">
        <v>#VALUE!</v>
      </c>
      <c r="Q616" s="1"/>
      <c r="R616" s="7" t="e">
        <f ca="1">_xll.SNL.Clients.Office.Excel.Functions.SPG(A616, "SP_TOTAL_DEBT", "LTM")</f>
        <v>#NAME?</v>
      </c>
      <c r="S616" s="8" t="e">
        <f ca="1">_xll.SNL.Clients.Office.Excel.Functions.SPG(A616, "SP_DEBT_TO_EQUITY", "LTM")</f>
        <v>#NAME?</v>
      </c>
      <c r="U616" s="9" t="e">
        <f t="shared" ca="1" si="9"/>
        <v>#VALUE!</v>
      </c>
      <c r="Y616" s="1"/>
      <c r="Z616" s="1"/>
      <c r="AA616" s="10"/>
      <c r="AB616" s="1" t="s">
        <v>1281</v>
      </c>
      <c r="AC616" s="1" t="s">
        <v>34</v>
      </c>
      <c r="AD616" s="10">
        <v>798.49699028999999</v>
      </c>
      <c r="AE616" s="1" t="s">
        <v>25</v>
      </c>
    </row>
    <row r="617" spans="1:31" x14ac:dyDescent="0.2">
      <c r="A617" s="1" t="s">
        <v>1282</v>
      </c>
      <c r="B617" s="2">
        <v>1.4790000000000001</v>
      </c>
      <c r="C617" s="3">
        <v>-71.207430340557295</v>
      </c>
      <c r="D617" s="2">
        <v>9.5980000000000008</v>
      </c>
      <c r="E617" s="2">
        <v>133.887755</v>
      </c>
      <c r="F617" s="4">
        <v>0.32900000000000001</v>
      </c>
      <c r="G617" s="4">
        <v>1.5443762065439099</v>
      </c>
      <c r="H617" s="2">
        <v>0.372</v>
      </c>
      <c r="I617" s="4">
        <v>0.41899999999999998</v>
      </c>
      <c r="J617" s="4" t="s">
        <v>1408</v>
      </c>
      <c r="K617" s="4">
        <v>1.9051279999999999</v>
      </c>
      <c r="L617" s="4">
        <v>62.514000000000003</v>
      </c>
      <c r="N617" s="5" t="s">
        <v>1408</v>
      </c>
      <c r="O617" s="5">
        <v>35300</v>
      </c>
      <c r="P617" s="6" t="e">
        <v>#VALUE!</v>
      </c>
      <c r="Q617" s="1"/>
      <c r="R617" s="7" t="e">
        <f ca="1">_xll.SNL.Clients.Office.Excel.Functions.SPG(A617, "SP_TOTAL_DEBT", "LTM")</f>
        <v>#NAME?</v>
      </c>
      <c r="S617" s="8" t="e">
        <f ca="1">_xll.SNL.Clients.Office.Excel.Functions.SPG(A617, "SP_DEBT_TO_EQUITY", "LTM")</f>
        <v>#NAME?</v>
      </c>
      <c r="U617" s="9" t="e">
        <f t="shared" ca="1" si="9"/>
        <v>#VALUE!</v>
      </c>
      <c r="Y617" s="1"/>
      <c r="Z617" s="1"/>
      <c r="AA617" s="10"/>
      <c r="AB617" s="1" t="s">
        <v>1283</v>
      </c>
      <c r="AC617" s="1" t="s">
        <v>95</v>
      </c>
      <c r="AD617" s="10">
        <v>4720.99864832</v>
      </c>
      <c r="AE617" s="1" t="s">
        <v>25</v>
      </c>
    </row>
    <row r="618" spans="1:31" x14ac:dyDescent="0.2">
      <c r="A618" s="1" t="s">
        <v>1284</v>
      </c>
      <c r="B618" s="2">
        <v>10.864000000000001</v>
      </c>
      <c r="C618" s="3">
        <v>45.970695970695999</v>
      </c>
      <c r="D618" s="2">
        <v>9.7110000000000003</v>
      </c>
      <c r="E618" s="2" t="s">
        <v>1408</v>
      </c>
      <c r="F618" s="4">
        <v>2.7429999999999999</v>
      </c>
      <c r="G618" s="4">
        <v>17.673474789359901</v>
      </c>
      <c r="H618" s="2">
        <v>1.948</v>
      </c>
      <c r="I618" s="4">
        <v>0.32700000000000001</v>
      </c>
      <c r="J618" s="4" t="s">
        <v>1408</v>
      </c>
      <c r="K618" s="4" t="s">
        <v>1408</v>
      </c>
      <c r="L618" s="4" t="s">
        <v>1408</v>
      </c>
      <c r="N618" s="5" t="s">
        <v>1408</v>
      </c>
      <c r="O618" s="5">
        <v>2504000</v>
      </c>
      <c r="P618" s="6" t="e">
        <v>#VALUE!</v>
      </c>
      <c r="Q618" s="1"/>
      <c r="R618" s="7" t="e">
        <f ca="1">_xll.SNL.Clients.Office.Excel.Functions.SPG(A618, "SP_TOTAL_DEBT", "LTM")</f>
        <v>#NAME?</v>
      </c>
      <c r="S618" s="8" t="e">
        <f ca="1">_xll.SNL.Clients.Office.Excel.Functions.SPG(A618, "SP_DEBT_TO_EQUITY", "LTM")</f>
        <v>#NAME?</v>
      </c>
      <c r="U618" s="9" t="e">
        <f t="shared" ca="1" si="9"/>
        <v>#VALUE!</v>
      </c>
      <c r="Y618" s="1"/>
      <c r="Z618" s="1"/>
      <c r="AA618" s="10"/>
      <c r="AB618" s="1" t="s">
        <v>1285</v>
      </c>
      <c r="AC618" s="1" t="s">
        <v>95</v>
      </c>
      <c r="AD618" s="10">
        <v>26154.944242879999</v>
      </c>
      <c r="AE618" s="1" t="s">
        <v>25</v>
      </c>
    </row>
    <row r="619" spans="1:31" x14ac:dyDescent="0.2">
      <c r="A619" s="1" t="s">
        <v>1286</v>
      </c>
      <c r="B619" s="2">
        <v>7.0919999999999996</v>
      </c>
      <c r="C619" s="3">
        <v>8.6661002548853006</v>
      </c>
      <c r="D619" s="2">
        <v>5.94</v>
      </c>
      <c r="E619" s="2">
        <v>22.936363</v>
      </c>
      <c r="F619" s="4" t="s">
        <v>1408</v>
      </c>
      <c r="G619" s="4">
        <v>13.5763242703463</v>
      </c>
      <c r="H619" s="2" t="s">
        <v>1408</v>
      </c>
      <c r="I619" s="4" t="s">
        <v>1408</v>
      </c>
      <c r="J619" s="4" t="s">
        <v>1408</v>
      </c>
      <c r="K619" s="4">
        <v>2.435263</v>
      </c>
      <c r="L619" s="4">
        <v>15.890809000000001</v>
      </c>
      <c r="N619" s="5" t="s">
        <v>1408</v>
      </c>
      <c r="O619" s="5">
        <v>2991000</v>
      </c>
      <c r="P619" s="6" t="e">
        <v>#VALUE!</v>
      </c>
      <c r="Q619" s="1"/>
      <c r="R619" s="7" t="e">
        <f ca="1">_xll.SNL.Clients.Office.Excel.Functions.SPG(A619, "SP_TOTAL_DEBT", "LTM")</f>
        <v>#NAME?</v>
      </c>
      <c r="S619" s="8" t="e">
        <f ca="1">_xll.SNL.Clients.Office.Excel.Functions.SPG(A619, "SP_DEBT_TO_EQUITY", "LTM")</f>
        <v>#NAME?</v>
      </c>
      <c r="U619" s="9" t="e">
        <f t="shared" ca="1" si="9"/>
        <v>#VALUE!</v>
      </c>
      <c r="Y619" s="1"/>
      <c r="Z619" s="1"/>
      <c r="AA619" s="10"/>
      <c r="AB619" s="1" t="s">
        <v>1287</v>
      </c>
      <c r="AC619" s="1" t="s">
        <v>95</v>
      </c>
      <c r="AD619" s="10">
        <v>48232.351999999999</v>
      </c>
      <c r="AE619" s="1" t="s">
        <v>25</v>
      </c>
    </row>
    <row r="620" spans="1:31" x14ac:dyDescent="0.2">
      <c r="A620" s="1" t="s">
        <v>1288</v>
      </c>
      <c r="B620" s="2">
        <v>3.0720000000000001</v>
      </c>
      <c r="C620" s="3" t="s">
        <v>1408</v>
      </c>
      <c r="D620" s="2">
        <v>-18.626000000000001</v>
      </c>
      <c r="E620" s="2">
        <v>2.117569</v>
      </c>
      <c r="F620" s="4">
        <v>25.77</v>
      </c>
      <c r="G620" s="4" t="s">
        <v>1408</v>
      </c>
      <c r="H620" s="2">
        <v>31.648</v>
      </c>
      <c r="I620" s="4">
        <v>0.437</v>
      </c>
      <c r="J620" s="4" t="s">
        <v>1408</v>
      </c>
      <c r="K620" s="4">
        <v>0.72630499999999998</v>
      </c>
      <c r="L620" s="4" t="s">
        <v>1409</v>
      </c>
      <c r="N620" s="5">
        <v>120070.375</v>
      </c>
      <c r="O620" s="5">
        <v>181702</v>
      </c>
      <c r="P620" s="6">
        <v>0.66080931965525969</v>
      </c>
      <c r="Q620" s="1"/>
      <c r="R620" s="7" t="e">
        <f ca="1">_xll.SNL.Clients.Office.Excel.Functions.SPG(A620, "SP_TOTAL_DEBT", "LTM")</f>
        <v>#NAME?</v>
      </c>
      <c r="S620" s="8" t="e">
        <f ca="1">_xll.SNL.Clients.Office.Excel.Functions.SPG(A620, "SP_DEBT_TO_EQUITY", "LTM")</f>
        <v>#NAME?</v>
      </c>
      <c r="U620" s="9" t="e">
        <f t="shared" ca="1" si="9"/>
        <v>#NAME?</v>
      </c>
      <c r="Y620" s="1"/>
      <c r="Z620" s="1"/>
      <c r="AA620" s="10"/>
      <c r="AB620" s="1" t="s">
        <v>1289</v>
      </c>
      <c r="AC620" s="1" t="s">
        <v>37</v>
      </c>
      <c r="AD620" s="10">
        <v>353.71109945511199</v>
      </c>
      <c r="AE620" s="1" t="s">
        <v>25</v>
      </c>
    </row>
    <row r="621" spans="1:31" x14ac:dyDescent="0.2">
      <c r="A621" s="1" t="s">
        <v>1290</v>
      </c>
      <c r="B621" s="2" t="s">
        <v>1408</v>
      </c>
      <c r="C621" s="3">
        <v>34.366925064599499</v>
      </c>
      <c r="D621" s="2">
        <v>11.853</v>
      </c>
      <c r="E621" s="2">
        <v>16.291699000000001</v>
      </c>
      <c r="F621" s="4">
        <v>1.7190000000000001</v>
      </c>
      <c r="G621" s="4" t="s">
        <v>1408</v>
      </c>
      <c r="H621" s="2" t="s">
        <v>1408</v>
      </c>
      <c r="I621" s="4" t="s">
        <v>1408</v>
      </c>
      <c r="J621" s="4" t="s">
        <v>1408</v>
      </c>
      <c r="K621" s="4">
        <v>2.9178820000000001</v>
      </c>
      <c r="L621" s="4" t="s">
        <v>1408</v>
      </c>
      <c r="N621" s="5" t="s">
        <v>1408</v>
      </c>
      <c r="O621" s="5">
        <v>33500</v>
      </c>
      <c r="P621" s="6" t="e">
        <v>#VALUE!</v>
      </c>
      <c r="Q621" s="1"/>
      <c r="R621" s="7" t="e">
        <f ca="1">_xll.SNL.Clients.Office.Excel.Functions.SPG(A621, "SP_TOTAL_DEBT", "LTM")</f>
        <v>#NAME?</v>
      </c>
      <c r="S621" s="8" t="e">
        <f ca="1">_xll.SNL.Clients.Office.Excel.Functions.SPG(A621, "SP_DEBT_TO_EQUITY", "LTM")</f>
        <v>#NAME?</v>
      </c>
      <c r="U621" s="9" t="e">
        <f t="shared" ca="1" si="9"/>
        <v>#VALUE!</v>
      </c>
      <c r="Y621" s="1"/>
      <c r="Z621" s="1"/>
      <c r="AA621" s="10"/>
      <c r="AB621" s="1" t="s">
        <v>1291</v>
      </c>
      <c r="AC621" s="1" t="s">
        <v>34</v>
      </c>
      <c r="AD621" s="10">
        <v>403.83929599999999</v>
      </c>
      <c r="AE621" s="1" t="s">
        <v>25</v>
      </c>
    </row>
    <row r="622" spans="1:31" x14ac:dyDescent="0.2">
      <c r="A622" s="1" t="s">
        <v>1292</v>
      </c>
      <c r="B622" s="2" t="s">
        <v>1408</v>
      </c>
      <c r="C622" s="3" t="s">
        <v>1408</v>
      </c>
      <c r="D622" s="2">
        <v>17.885000000000002</v>
      </c>
      <c r="E622" s="2">
        <v>9.1464970000000001</v>
      </c>
      <c r="F622" s="4">
        <v>3.3359999999999999</v>
      </c>
      <c r="G622" s="4" t="s">
        <v>1408</v>
      </c>
      <c r="H622" s="2">
        <v>3.8079999999999998</v>
      </c>
      <c r="I622" s="4">
        <v>4.2999999999999997E-2</v>
      </c>
      <c r="J622" s="4" t="s">
        <v>1408</v>
      </c>
      <c r="K622" s="4">
        <v>0.85161900000000001</v>
      </c>
      <c r="L622" s="4" t="s">
        <v>1408</v>
      </c>
      <c r="N622" s="5" t="s">
        <v>1408</v>
      </c>
      <c r="O622" s="5">
        <v>66261</v>
      </c>
      <c r="P622" s="6" t="e">
        <v>#VALUE!</v>
      </c>
      <c r="Q622" s="1"/>
      <c r="R622" s="7" t="e">
        <f ca="1">_xll.SNL.Clients.Office.Excel.Functions.SPG(A622, "SP_TOTAL_DEBT", "LTM")</f>
        <v>#NAME?</v>
      </c>
      <c r="S622" s="8" t="e">
        <f ca="1">_xll.SNL.Clients.Office.Excel.Functions.SPG(A622, "SP_DEBT_TO_EQUITY", "LTM")</f>
        <v>#NAME?</v>
      </c>
      <c r="U622" s="9" t="e">
        <f t="shared" ca="1" si="9"/>
        <v>#VALUE!</v>
      </c>
      <c r="Y622" s="1"/>
      <c r="Z622" s="1"/>
      <c r="AA622" s="10"/>
      <c r="AB622" s="1" t="s">
        <v>1293</v>
      </c>
      <c r="AC622" s="1" t="s">
        <v>164</v>
      </c>
      <c r="AD622" s="10">
        <v>441.761096891374</v>
      </c>
      <c r="AE622" s="1" t="s">
        <v>25</v>
      </c>
    </row>
    <row r="623" spans="1:31" x14ac:dyDescent="0.2">
      <c r="A623" s="1" t="s">
        <v>1294</v>
      </c>
      <c r="B623" s="2">
        <v>6.0410000000000004</v>
      </c>
      <c r="C623" s="3" t="s">
        <v>1409</v>
      </c>
      <c r="D623" s="2">
        <v>15.925000000000001</v>
      </c>
      <c r="E623" s="2">
        <v>87.934272000000007</v>
      </c>
      <c r="F623" s="4">
        <v>1.7150000000000001</v>
      </c>
      <c r="G623" s="4">
        <v>0.75168448249658004</v>
      </c>
      <c r="H623" s="2">
        <v>0.91200000000000003</v>
      </c>
      <c r="I623" s="4">
        <v>0.36</v>
      </c>
      <c r="J623" s="4" t="s">
        <v>1408</v>
      </c>
      <c r="K623" s="4">
        <v>1.7377990000000001</v>
      </c>
      <c r="L623" s="4">
        <v>4.4917910000000001</v>
      </c>
      <c r="N623" s="5">
        <v>127905.375</v>
      </c>
      <c r="O623" s="5">
        <v>29987</v>
      </c>
      <c r="P623" s="6">
        <v>4.2653608230233102</v>
      </c>
      <c r="Q623" s="1"/>
      <c r="R623" s="7" t="e">
        <f ca="1">_xll.SNL.Clients.Office.Excel.Functions.SPG(A623, "SP_TOTAL_DEBT", "LTM")</f>
        <v>#NAME?</v>
      </c>
      <c r="S623" s="8" t="e">
        <f ca="1">_xll.SNL.Clients.Office.Excel.Functions.SPG(A623, "SP_DEBT_TO_EQUITY", "LTM")</f>
        <v>#NAME?</v>
      </c>
      <c r="U623" s="9" t="e">
        <f t="shared" ca="1" si="9"/>
        <v>#NAME?</v>
      </c>
      <c r="Y623" s="1"/>
      <c r="Z623" s="1"/>
      <c r="AA623" s="10"/>
      <c r="AB623" s="1" t="s">
        <v>1295</v>
      </c>
      <c r="AC623" s="1" t="s">
        <v>95</v>
      </c>
      <c r="AD623" s="10">
        <v>695.67310824000003</v>
      </c>
      <c r="AE623" s="1" t="s">
        <v>25</v>
      </c>
    </row>
    <row r="624" spans="1:31" x14ac:dyDescent="0.2">
      <c r="A624" s="1" t="s">
        <v>1296</v>
      </c>
      <c r="B624" s="2">
        <v>15.724</v>
      </c>
      <c r="C624" s="3">
        <v>-33.952528379773</v>
      </c>
      <c r="D624" s="2">
        <v>80.204999999999998</v>
      </c>
      <c r="E624" s="2" t="s">
        <v>1408</v>
      </c>
      <c r="F624" s="4" t="s">
        <v>1408</v>
      </c>
      <c r="G624" s="4">
        <v>9.0838093733821204</v>
      </c>
      <c r="H624" s="2" t="s">
        <v>1408</v>
      </c>
      <c r="I624" s="4" t="s">
        <v>1408</v>
      </c>
      <c r="J624" s="4" t="s">
        <v>1408</v>
      </c>
      <c r="K624" s="4" t="s">
        <v>1408</v>
      </c>
      <c r="L624" s="4" t="s">
        <v>1408</v>
      </c>
      <c r="N624" s="5" t="s">
        <v>1408</v>
      </c>
      <c r="O624" s="5">
        <v>388200</v>
      </c>
      <c r="P624" s="6" t="e">
        <v>#VALUE!</v>
      </c>
      <c r="Q624" s="1"/>
      <c r="R624" s="7" t="e">
        <f ca="1">_xll.SNL.Clients.Office.Excel.Functions.SPG(A624, "SP_TOTAL_DEBT", "LTM")</f>
        <v>#NAME?</v>
      </c>
      <c r="S624" s="8" t="e">
        <f ca="1">_xll.SNL.Clients.Office.Excel.Functions.SPG(A624, "SP_DEBT_TO_EQUITY", "LTM")</f>
        <v>#NAME?</v>
      </c>
      <c r="U624" s="9" t="e">
        <f t="shared" ca="1" si="9"/>
        <v>#VALUE!</v>
      </c>
      <c r="Y624" s="1"/>
      <c r="Z624" s="1"/>
      <c r="AA624" s="10"/>
      <c r="AB624" s="1" t="s">
        <v>1297</v>
      </c>
      <c r="AC624" s="1" t="s">
        <v>177</v>
      </c>
      <c r="AD624" s="10">
        <v>6874.7941964585998</v>
      </c>
      <c r="AE624" s="1" t="s">
        <v>25</v>
      </c>
    </row>
    <row r="625" spans="1:31" x14ac:dyDescent="0.2">
      <c r="A625" s="1" t="s">
        <v>1298</v>
      </c>
      <c r="B625" s="2">
        <v>-19.994</v>
      </c>
      <c r="C625" s="3" t="s">
        <v>1408</v>
      </c>
      <c r="D625" s="2">
        <v>60.176000000000002</v>
      </c>
      <c r="E625" s="2" t="s">
        <v>1409</v>
      </c>
      <c r="F625" s="4">
        <v>-11.433999999999999</v>
      </c>
      <c r="G625" s="4" t="s">
        <v>1408</v>
      </c>
      <c r="H625" s="2">
        <v>2.5779999999999998</v>
      </c>
      <c r="I625" s="4">
        <v>2.012</v>
      </c>
      <c r="J625" s="4" t="s">
        <v>1408</v>
      </c>
      <c r="K625" s="4">
        <v>8.6269919999999995</v>
      </c>
      <c r="L625" s="4" t="s">
        <v>1409</v>
      </c>
      <c r="N625" s="5">
        <v>124625</v>
      </c>
      <c r="O625" s="5">
        <v>-310000</v>
      </c>
      <c r="P625" s="6">
        <v>-0.40201612903225808</v>
      </c>
      <c r="Q625" s="1"/>
      <c r="R625" s="7" t="e">
        <f ca="1">_xll.SNL.Clients.Office.Excel.Functions.SPG(A625, "SP_TOTAL_DEBT", "LTM")</f>
        <v>#NAME?</v>
      </c>
      <c r="S625" s="8" t="e">
        <f ca="1">_xll.SNL.Clients.Office.Excel.Functions.SPG(A625, "SP_DEBT_TO_EQUITY", "LTM")</f>
        <v>#NAME?</v>
      </c>
      <c r="U625" s="9" t="e">
        <f t="shared" ca="1" si="9"/>
        <v>#NAME?</v>
      </c>
      <c r="Y625" s="1"/>
      <c r="Z625" s="1"/>
      <c r="AA625" s="10"/>
      <c r="AB625" s="1" t="s">
        <v>1299</v>
      </c>
      <c r="AC625" s="1" t="s">
        <v>167</v>
      </c>
      <c r="AD625" s="10">
        <v>9599.4943652300008</v>
      </c>
      <c r="AE625" s="1" t="s">
        <v>25</v>
      </c>
    </row>
    <row r="626" spans="1:31" x14ac:dyDescent="0.2">
      <c r="A626" s="1" t="s">
        <v>1300</v>
      </c>
      <c r="B626" s="2" t="s">
        <v>1408</v>
      </c>
      <c r="C626" s="3">
        <v>-88.794567062818302</v>
      </c>
      <c r="D626" s="2">
        <v>-29.478999999999999</v>
      </c>
      <c r="E626" s="2">
        <v>76.060606000000007</v>
      </c>
      <c r="F626" s="4">
        <v>0.124</v>
      </c>
      <c r="G626" s="4">
        <v>1.51701820610904</v>
      </c>
      <c r="H626" s="2" t="s">
        <v>1408</v>
      </c>
      <c r="I626" s="4" t="s">
        <v>1408</v>
      </c>
      <c r="J626" s="4">
        <v>28.5843963993815</v>
      </c>
      <c r="K626" s="4">
        <v>1.074532</v>
      </c>
      <c r="L626" s="4" t="s">
        <v>1408</v>
      </c>
      <c r="N626" s="5" t="s">
        <v>1408</v>
      </c>
      <c r="O626" s="5">
        <v>9629</v>
      </c>
      <c r="P626" s="6" t="e">
        <v>#VALUE!</v>
      </c>
      <c r="Q626" s="1"/>
      <c r="R626" s="7" t="e">
        <f ca="1">_xll.SNL.Clients.Office.Excel.Functions.SPG(A626, "SP_TOTAL_DEBT", "LTM")</f>
        <v>#NAME?</v>
      </c>
      <c r="S626" s="8" t="e">
        <f ca="1">_xll.SNL.Clients.Office.Excel.Functions.SPG(A626, "SP_DEBT_TO_EQUITY", "LTM")</f>
        <v>#NAME?</v>
      </c>
      <c r="U626" s="9" t="e">
        <f t="shared" ca="1" si="9"/>
        <v>#VALUE!</v>
      </c>
      <c r="Y626" s="1"/>
      <c r="Z626" s="1"/>
      <c r="AA626" s="10"/>
      <c r="AB626" s="1" t="s">
        <v>1301</v>
      </c>
      <c r="AC626" s="1" t="s">
        <v>34</v>
      </c>
      <c r="AD626" s="10">
        <v>706.75771286999998</v>
      </c>
      <c r="AE626" s="1" t="s">
        <v>25</v>
      </c>
    </row>
    <row r="627" spans="1:31" x14ac:dyDescent="0.2">
      <c r="A627" s="1" t="s">
        <v>1302</v>
      </c>
      <c r="B627" s="2" t="s">
        <v>1408</v>
      </c>
      <c r="C627" s="3">
        <v>-20.769230769230798</v>
      </c>
      <c r="D627" s="2">
        <v>-0.251</v>
      </c>
      <c r="E627" s="2">
        <v>13.218446999999999</v>
      </c>
      <c r="F627" s="4">
        <v>0.94899999999999995</v>
      </c>
      <c r="G627" s="4">
        <v>7.8550112050973304</v>
      </c>
      <c r="H627" s="2" t="s">
        <v>1408</v>
      </c>
      <c r="I627" s="4" t="s">
        <v>1408</v>
      </c>
      <c r="J627" s="4">
        <v>27.982387604144598</v>
      </c>
      <c r="K627" s="4">
        <v>0.98627299999999996</v>
      </c>
      <c r="L627" s="4" t="s">
        <v>1408</v>
      </c>
      <c r="N627" s="5" t="s">
        <v>1408</v>
      </c>
      <c r="O627" s="5">
        <v>155136</v>
      </c>
      <c r="P627" s="6" t="e">
        <v>#VALUE!</v>
      </c>
      <c r="Q627" s="1"/>
      <c r="R627" s="7" t="e">
        <f ca="1">_xll.SNL.Clients.Office.Excel.Functions.SPG(A627, "SP_TOTAL_DEBT", "LTM")</f>
        <v>#NAME?</v>
      </c>
      <c r="S627" s="8" t="e">
        <f ca="1">_xll.SNL.Clients.Office.Excel.Functions.SPG(A627, "SP_DEBT_TO_EQUITY", "LTM")</f>
        <v>#NAME?</v>
      </c>
      <c r="U627" s="9" t="e">
        <f t="shared" ca="1" si="9"/>
        <v>#VALUE!</v>
      </c>
      <c r="Y627" s="1"/>
      <c r="Z627" s="1"/>
      <c r="AA627" s="10"/>
      <c r="AB627" s="1" t="s">
        <v>1303</v>
      </c>
      <c r="AC627" s="1" t="s">
        <v>34</v>
      </c>
      <c r="AD627" s="10">
        <v>2077.0126219499998</v>
      </c>
      <c r="AE627" s="1" t="s">
        <v>25</v>
      </c>
    </row>
    <row r="628" spans="1:31" x14ac:dyDescent="0.2">
      <c r="A628" s="1" t="s">
        <v>1304</v>
      </c>
      <c r="B628" s="2">
        <v>1.014</v>
      </c>
      <c r="C628" s="3" t="s">
        <v>1408</v>
      </c>
      <c r="D628" s="2">
        <v>-59.752000000000002</v>
      </c>
      <c r="E628" s="2" t="s">
        <v>1409</v>
      </c>
      <c r="F628" s="4">
        <v>0.06</v>
      </c>
      <c r="G628" s="4">
        <v>-1.57525779404733</v>
      </c>
      <c r="H628" s="2">
        <v>5.42</v>
      </c>
      <c r="I628" s="4">
        <v>0.23100000000000001</v>
      </c>
      <c r="J628" s="4" t="s">
        <v>1408</v>
      </c>
      <c r="K628" s="4">
        <v>6.3875919999999997</v>
      </c>
      <c r="L628" s="4">
        <v>73.583146999999997</v>
      </c>
      <c r="N628" s="5">
        <v>1596646.25</v>
      </c>
      <c r="O628" s="5">
        <v>-28775</v>
      </c>
      <c r="P628" s="6">
        <v>-55.487271937445698</v>
      </c>
      <c r="Q628" s="1"/>
      <c r="R628" s="7" t="e">
        <f ca="1">_xll.SNL.Clients.Office.Excel.Functions.SPG(A628, "SP_TOTAL_DEBT", "LTM")</f>
        <v>#NAME?</v>
      </c>
      <c r="S628" s="8" t="e">
        <f ca="1">_xll.SNL.Clients.Office.Excel.Functions.SPG(A628, "SP_DEBT_TO_EQUITY", "LTM")</f>
        <v>#NAME?</v>
      </c>
      <c r="U628" s="9" t="e">
        <f t="shared" ca="1" si="9"/>
        <v>#NAME?</v>
      </c>
      <c r="Y628" s="1"/>
      <c r="Z628" s="1"/>
      <c r="AA628" s="10"/>
      <c r="AB628" s="1" t="s">
        <v>1305</v>
      </c>
      <c r="AC628" s="1" t="s">
        <v>37</v>
      </c>
      <c r="AD628" s="10">
        <v>3355.2323366300002</v>
      </c>
      <c r="AE628" s="1" t="s">
        <v>25</v>
      </c>
    </row>
    <row r="629" spans="1:31" x14ac:dyDescent="0.2">
      <c r="A629" s="1" t="s">
        <v>1306</v>
      </c>
      <c r="B629" s="2" t="s">
        <v>1408</v>
      </c>
      <c r="C629" s="3" t="s">
        <v>1409</v>
      </c>
      <c r="D629" s="2" t="s">
        <v>1409</v>
      </c>
      <c r="E629" s="2" t="s">
        <v>1409</v>
      </c>
      <c r="F629" s="4">
        <v>-1.716</v>
      </c>
      <c r="G629" s="4">
        <v>-4.2831006451283997</v>
      </c>
      <c r="H629" s="2">
        <v>58.826999999999998</v>
      </c>
      <c r="I629" s="4" t="s">
        <v>1409</v>
      </c>
      <c r="J629" s="4" t="s">
        <v>1408</v>
      </c>
      <c r="K629" s="4">
        <v>0.39365800000000001</v>
      </c>
      <c r="L629" s="4" t="s">
        <v>1408</v>
      </c>
      <c r="N629" s="5" t="s">
        <v>1408</v>
      </c>
      <c r="O629" s="5">
        <v>-86817</v>
      </c>
      <c r="P629" s="6" t="e">
        <v>#VALUE!</v>
      </c>
      <c r="Q629" s="1"/>
      <c r="R629" s="7" t="e">
        <f ca="1">_xll.SNL.Clients.Office.Excel.Functions.SPG(A629, "SP_TOTAL_DEBT", "LTM")</f>
        <v>#NAME?</v>
      </c>
      <c r="S629" s="8" t="e">
        <f ca="1">_xll.SNL.Clients.Office.Excel.Functions.SPG(A629, "SP_DEBT_TO_EQUITY", "LTM")</f>
        <v>#NAME?</v>
      </c>
      <c r="U629" s="9" t="e">
        <f t="shared" ca="1" si="9"/>
        <v>#VALUE!</v>
      </c>
      <c r="Y629" s="1"/>
      <c r="Z629" s="1"/>
      <c r="AA629" s="10"/>
      <c r="AB629" s="1" t="s">
        <v>1307</v>
      </c>
      <c r="AC629" s="1" t="s">
        <v>65</v>
      </c>
      <c r="AD629" s="10">
        <v>473.40484673999998</v>
      </c>
      <c r="AE629" s="1" t="s">
        <v>25</v>
      </c>
    </row>
    <row r="630" spans="1:31" x14ac:dyDescent="0.2">
      <c r="A630" s="1" t="s">
        <v>1308</v>
      </c>
      <c r="B630" s="2" t="s">
        <v>1408</v>
      </c>
      <c r="C630" s="3">
        <v>15.540540540540499</v>
      </c>
      <c r="D630" s="2">
        <v>10.599</v>
      </c>
      <c r="E630" s="2" t="s">
        <v>1408</v>
      </c>
      <c r="F630" s="4" t="s">
        <v>1408</v>
      </c>
      <c r="G630" s="4" t="s">
        <v>1408</v>
      </c>
      <c r="H630" s="2" t="s">
        <v>1408</v>
      </c>
      <c r="I630" s="4" t="s">
        <v>1408</v>
      </c>
      <c r="J630" s="4" t="s">
        <v>1408</v>
      </c>
      <c r="K630" s="4" t="s">
        <v>1408</v>
      </c>
      <c r="L630" s="4" t="s">
        <v>1408</v>
      </c>
      <c r="N630" s="5" t="s">
        <v>1408</v>
      </c>
      <c r="O630" s="5">
        <v>419503</v>
      </c>
      <c r="P630" s="6" t="e">
        <v>#VALUE!</v>
      </c>
      <c r="Q630" s="1"/>
      <c r="R630" s="7" t="e">
        <f ca="1">_xll.SNL.Clients.Office.Excel.Functions.SPG(A630, "SP_TOTAL_DEBT", "LTM")</f>
        <v>#NAME?</v>
      </c>
      <c r="S630" s="8" t="e">
        <f ca="1">_xll.SNL.Clients.Office.Excel.Functions.SPG(A630, "SP_DEBT_TO_EQUITY", "LTM")</f>
        <v>#NAME?</v>
      </c>
      <c r="U630" s="9" t="e">
        <f t="shared" ca="1" si="9"/>
        <v>#VALUE!</v>
      </c>
      <c r="Y630" s="1"/>
      <c r="Z630" s="1"/>
      <c r="AA630" s="10"/>
      <c r="AB630" s="1" t="s">
        <v>1309</v>
      </c>
      <c r="AC630" s="1" t="s">
        <v>177</v>
      </c>
      <c r="AD630" s="10">
        <v>20190.141230929999</v>
      </c>
      <c r="AE630" s="1" t="s">
        <v>25</v>
      </c>
    </row>
    <row r="631" spans="1:31" x14ac:dyDescent="0.2">
      <c r="A631" s="1" t="s">
        <v>1310</v>
      </c>
      <c r="B631" s="2">
        <v>3.9910000000000001</v>
      </c>
      <c r="C631" s="3">
        <v>-28.804347826087</v>
      </c>
      <c r="D631" s="2">
        <v>25.326000000000001</v>
      </c>
      <c r="E631" s="2" t="s">
        <v>1409</v>
      </c>
      <c r="F631" s="4">
        <v>3.5659999999999998</v>
      </c>
      <c r="G631" s="4">
        <v>6.8717076084792099</v>
      </c>
      <c r="H631" s="2">
        <v>1.5389999999999999</v>
      </c>
      <c r="I631" s="4">
        <v>0.33</v>
      </c>
      <c r="J631" s="4" t="s">
        <v>1408</v>
      </c>
      <c r="K631" s="4">
        <v>3.2837190000000001</v>
      </c>
      <c r="L631" s="4">
        <v>14.723891999999999</v>
      </c>
      <c r="N631" s="5">
        <v>689512.5</v>
      </c>
      <c r="O631" s="5">
        <v>-149900</v>
      </c>
      <c r="P631" s="6">
        <v>-4.5998165443629082</v>
      </c>
      <c r="Q631" s="1"/>
      <c r="R631" s="7" t="e">
        <f ca="1">_xll.SNL.Clients.Office.Excel.Functions.SPG(A631, "SP_TOTAL_DEBT", "LTM")</f>
        <v>#NAME?</v>
      </c>
      <c r="S631" s="8" t="e">
        <f ca="1">_xll.SNL.Clients.Office.Excel.Functions.SPG(A631, "SP_DEBT_TO_EQUITY", "LTM")</f>
        <v>#NAME?</v>
      </c>
      <c r="U631" s="9" t="e">
        <f t="shared" ca="1" si="9"/>
        <v>#NAME?</v>
      </c>
      <c r="Y631" s="1"/>
      <c r="Z631" s="1"/>
      <c r="AA631" s="10"/>
      <c r="AB631" s="1" t="s">
        <v>1311</v>
      </c>
      <c r="AC631" s="1" t="s">
        <v>156</v>
      </c>
      <c r="AD631" s="10">
        <v>13402.102999999999</v>
      </c>
      <c r="AE631" s="1" t="s">
        <v>25</v>
      </c>
    </row>
    <row r="632" spans="1:31" x14ac:dyDescent="0.2">
      <c r="A632" s="1" t="s">
        <v>1312</v>
      </c>
      <c r="B632" s="2" t="s">
        <v>1408</v>
      </c>
      <c r="C632" s="3">
        <v>-8.0939947780678896</v>
      </c>
      <c r="D632" s="2">
        <v>0.70299999999999996</v>
      </c>
      <c r="E632" s="2">
        <v>9.7329550000000005</v>
      </c>
      <c r="F632" s="4">
        <v>1.1830000000000001</v>
      </c>
      <c r="G632" s="4">
        <v>10.648237176579901</v>
      </c>
      <c r="H632" s="2" t="s">
        <v>1408</v>
      </c>
      <c r="I632" s="4" t="s">
        <v>1408</v>
      </c>
      <c r="J632" s="4">
        <v>38.523396880415902</v>
      </c>
      <c r="K632" s="4">
        <v>0.98281600000000002</v>
      </c>
      <c r="L632" s="4" t="s">
        <v>1408</v>
      </c>
      <c r="N632" s="5" t="s">
        <v>1408</v>
      </c>
      <c r="O632" s="5">
        <v>117390</v>
      </c>
      <c r="P632" s="6" t="e">
        <v>#VALUE!</v>
      </c>
      <c r="Q632" s="1"/>
      <c r="R632" s="7" t="e">
        <f ca="1">_xll.SNL.Clients.Office.Excel.Functions.SPG(A632, "SP_TOTAL_DEBT", "LTM")</f>
        <v>#NAME?</v>
      </c>
      <c r="S632" s="8" t="e">
        <f ca="1">_xll.SNL.Clients.Office.Excel.Functions.SPG(A632, "SP_DEBT_TO_EQUITY", "LTM")</f>
        <v>#NAME?</v>
      </c>
      <c r="U632" s="9" t="e">
        <f t="shared" ca="1" si="9"/>
        <v>#VALUE!</v>
      </c>
      <c r="Y632" s="1"/>
      <c r="Z632" s="1"/>
      <c r="AA632" s="10"/>
      <c r="AB632" s="1" t="s">
        <v>1313</v>
      </c>
      <c r="AC632" s="1" t="s">
        <v>34</v>
      </c>
      <c r="AD632" s="10">
        <v>1209.2955076999999</v>
      </c>
      <c r="AE632" s="1" t="s">
        <v>25</v>
      </c>
    </row>
    <row r="633" spans="1:31" x14ac:dyDescent="0.2">
      <c r="A633" s="1" t="s">
        <v>1314</v>
      </c>
      <c r="B633" s="2">
        <v>6.4139999999999997</v>
      </c>
      <c r="C633" s="3" t="s">
        <v>1409</v>
      </c>
      <c r="D633" s="2">
        <v>81.183999999999997</v>
      </c>
      <c r="E633" s="2">
        <v>9.0766209999999994</v>
      </c>
      <c r="F633" s="4">
        <v>7.13</v>
      </c>
      <c r="G633" s="4">
        <v>-6.6833962434362402</v>
      </c>
      <c r="H633" s="2">
        <v>0.54800000000000004</v>
      </c>
      <c r="I633" s="4">
        <v>0.152</v>
      </c>
      <c r="J633" s="4" t="s">
        <v>1408</v>
      </c>
      <c r="K633" s="4">
        <v>1.0525519999999999</v>
      </c>
      <c r="L633" s="4">
        <v>9.0296149999999997</v>
      </c>
      <c r="N633" s="5">
        <v>84778</v>
      </c>
      <c r="O633" s="5">
        <v>57600</v>
      </c>
      <c r="P633" s="6">
        <v>1.4718402777777777</v>
      </c>
      <c r="Q633" s="1"/>
      <c r="R633" s="7" t="e">
        <f ca="1">_xll.SNL.Clients.Office.Excel.Functions.SPG(A633, "SP_TOTAL_DEBT", "LTM")</f>
        <v>#NAME?</v>
      </c>
      <c r="S633" s="8" t="e">
        <f ca="1">_xll.SNL.Clients.Office.Excel.Functions.SPG(A633, "SP_DEBT_TO_EQUITY", "LTM")</f>
        <v>#NAME?</v>
      </c>
      <c r="U633" s="9" t="e">
        <f t="shared" ca="1" si="9"/>
        <v>#NAME?</v>
      </c>
      <c r="Y633" s="1"/>
      <c r="Z633" s="1"/>
      <c r="AA633" s="10"/>
      <c r="AB633" s="1" t="s">
        <v>1315</v>
      </c>
      <c r="AC633" s="1" t="s">
        <v>363</v>
      </c>
      <c r="AD633" s="10">
        <v>605.09049789000005</v>
      </c>
      <c r="AE633" s="1" t="s">
        <v>25</v>
      </c>
    </row>
    <row r="634" spans="1:31" x14ac:dyDescent="0.2">
      <c r="A634" s="1" t="s">
        <v>1316</v>
      </c>
      <c r="B634" s="2">
        <v>4.5540000000000003</v>
      </c>
      <c r="C634" s="3">
        <v>-62.416107382550301</v>
      </c>
      <c r="D634" s="2">
        <v>50.587000000000003</v>
      </c>
      <c r="E634" s="2">
        <v>153.96761100000001</v>
      </c>
      <c r="F634" s="4">
        <v>1.038</v>
      </c>
      <c r="G634" s="4">
        <v>5.9364685164698701</v>
      </c>
      <c r="H634" s="2">
        <v>54.49</v>
      </c>
      <c r="I634" s="4">
        <v>0.309</v>
      </c>
      <c r="J634" s="4" t="s">
        <v>1408</v>
      </c>
      <c r="K634" s="4">
        <v>3.0122770000000001</v>
      </c>
      <c r="L634" s="4">
        <v>21.015881</v>
      </c>
      <c r="N634" s="5">
        <v>-2821575.75</v>
      </c>
      <c r="O634" s="5">
        <v>15281</v>
      </c>
      <c r="P634" s="6">
        <v>-184.64601465872653</v>
      </c>
      <c r="Q634" s="1"/>
      <c r="R634" s="7" t="e">
        <f ca="1">_xll.SNL.Clients.Office.Excel.Functions.SPG(A634, "SP_TOTAL_DEBT", "LTM")</f>
        <v>#NAME?</v>
      </c>
      <c r="S634" s="8" t="e">
        <f ca="1">_xll.SNL.Clients.Office.Excel.Functions.SPG(A634, "SP_DEBT_TO_EQUITY", "LTM")</f>
        <v>#NAME?</v>
      </c>
      <c r="U634" s="9" t="e">
        <f t="shared" ca="1" si="9"/>
        <v>#NAME?</v>
      </c>
      <c r="Y634" s="1"/>
      <c r="Z634" s="1"/>
      <c r="AA634" s="10"/>
      <c r="AB634" s="1" t="s">
        <v>1317</v>
      </c>
      <c r="AC634" s="1" t="s">
        <v>95</v>
      </c>
      <c r="AD634" s="10">
        <v>1329.5473596782999</v>
      </c>
      <c r="AE634" s="1" t="s">
        <v>25</v>
      </c>
    </row>
    <row r="635" spans="1:31" x14ac:dyDescent="0.2">
      <c r="A635" s="1" t="s">
        <v>1318</v>
      </c>
      <c r="B635" s="2" t="s">
        <v>1408</v>
      </c>
      <c r="C635" s="3">
        <v>-59.343434343434303</v>
      </c>
      <c r="D635" s="2">
        <v>-14.988</v>
      </c>
      <c r="E635" s="2">
        <v>44.925466</v>
      </c>
      <c r="F635" s="4">
        <v>0.76900000000000002</v>
      </c>
      <c r="G635" s="4">
        <v>4.8020544998877801</v>
      </c>
      <c r="H635" s="2" t="s">
        <v>1408</v>
      </c>
      <c r="I635" s="4" t="s">
        <v>1408</v>
      </c>
      <c r="J635" s="4" t="s">
        <v>1408</v>
      </c>
      <c r="K635" s="4">
        <v>2.046052</v>
      </c>
      <c r="L635" s="4" t="s">
        <v>1408</v>
      </c>
      <c r="N635" s="5" t="s">
        <v>1408</v>
      </c>
      <c r="O635" s="5">
        <v>41081</v>
      </c>
      <c r="P635" s="6" t="e">
        <v>#VALUE!</v>
      </c>
      <c r="Q635" s="1"/>
      <c r="R635" s="7" t="e">
        <f ca="1">_xll.SNL.Clients.Office.Excel.Functions.SPG(A635, "SP_TOTAL_DEBT", "LTM")</f>
        <v>#NAME?</v>
      </c>
      <c r="S635" s="8" t="e">
        <f ca="1">_xll.SNL.Clients.Office.Excel.Functions.SPG(A635, "SP_DEBT_TO_EQUITY", "LTM")</f>
        <v>#NAME?</v>
      </c>
      <c r="U635" s="9" t="e">
        <f t="shared" ca="1" si="9"/>
        <v>#VALUE!</v>
      </c>
      <c r="Y635" s="1"/>
      <c r="Z635" s="1"/>
      <c r="AA635" s="10"/>
      <c r="AB635" s="1" t="s">
        <v>1319</v>
      </c>
      <c r="AC635" s="1" t="s">
        <v>34</v>
      </c>
      <c r="AD635" s="10">
        <v>1637.6073007499999</v>
      </c>
      <c r="AE635" s="1" t="s">
        <v>25</v>
      </c>
    </row>
    <row r="636" spans="1:31" x14ac:dyDescent="0.2">
      <c r="A636" s="1" t="s">
        <v>1320</v>
      </c>
      <c r="B636" s="2" t="s">
        <v>1408</v>
      </c>
      <c r="C636" s="3" t="s">
        <v>1409</v>
      </c>
      <c r="D636" s="2">
        <v>-4.3899999999999997</v>
      </c>
      <c r="E636" s="2" t="s">
        <v>1409</v>
      </c>
      <c r="F636" s="4">
        <v>-0.192</v>
      </c>
      <c r="G636" s="4">
        <v>-1.6592972947273299</v>
      </c>
      <c r="H636" s="2" t="s">
        <v>1408</v>
      </c>
      <c r="I636" s="4" t="s">
        <v>1408</v>
      </c>
      <c r="J636" s="4">
        <v>2.9799059427105599</v>
      </c>
      <c r="K636" s="4">
        <v>0.92218100000000003</v>
      </c>
      <c r="L636" s="4" t="s">
        <v>1408</v>
      </c>
      <c r="N636" s="5" t="s">
        <v>1408</v>
      </c>
      <c r="O636" s="5">
        <v>-1047000</v>
      </c>
      <c r="P636" s="6" t="e">
        <v>#VALUE!</v>
      </c>
      <c r="Q636" s="1"/>
      <c r="R636" s="7" t="e">
        <f ca="1">_xll.SNL.Clients.Office.Excel.Functions.SPG(A636, "SP_TOTAL_DEBT", "LTM")</f>
        <v>#NAME?</v>
      </c>
      <c r="S636" s="8" t="e">
        <f ca="1">_xll.SNL.Clients.Office.Excel.Functions.SPG(A636, "SP_DEBT_TO_EQUITY", "LTM")</f>
        <v>#NAME?</v>
      </c>
      <c r="U636" s="9" t="e">
        <f t="shared" ca="1" si="9"/>
        <v>#VALUE!</v>
      </c>
      <c r="Y636" s="1"/>
      <c r="Z636" s="1"/>
      <c r="AA636" s="10"/>
      <c r="AB636" s="1" t="s">
        <v>1321</v>
      </c>
      <c r="AC636" s="1" t="s">
        <v>34</v>
      </c>
      <c r="AD636" s="10">
        <v>49428.515579999999</v>
      </c>
      <c r="AE636" s="1" t="s">
        <v>25</v>
      </c>
    </row>
    <row r="637" spans="1:31" x14ac:dyDescent="0.2">
      <c r="A637" s="1" t="s">
        <v>1322</v>
      </c>
      <c r="B637" s="2">
        <v>-7.4930000000000003</v>
      </c>
      <c r="C637" s="3" t="s">
        <v>1409</v>
      </c>
      <c r="D637" s="2">
        <v>29.498000000000001</v>
      </c>
      <c r="E637" s="2" t="s">
        <v>1409</v>
      </c>
      <c r="F637" s="4">
        <v>-4.0220000000000002</v>
      </c>
      <c r="G637" s="4">
        <v>-14.094631257081801</v>
      </c>
      <c r="H637" s="2">
        <v>1.615</v>
      </c>
      <c r="I637" s="4">
        <v>1.4910000000000001</v>
      </c>
      <c r="J637" s="4" t="s">
        <v>1408</v>
      </c>
      <c r="K637" s="4">
        <v>4.160196</v>
      </c>
      <c r="L637" s="4" t="s">
        <v>1409</v>
      </c>
      <c r="N637" s="5">
        <v>-10669.875</v>
      </c>
      <c r="O637" s="5">
        <v>-51815</v>
      </c>
      <c r="P637" s="6">
        <v>0.20592251278587281</v>
      </c>
      <c r="Q637" s="1"/>
      <c r="R637" s="7" t="e">
        <f ca="1">_xll.SNL.Clients.Office.Excel.Functions.SPG(A637, "SP_TOTAL_DEBT", "LTM")</f>
        <v>#NAME?</v>
      </c>
      <c r="S637" s="8" t="e">
        <f ca="1">_xll.SNL.Clients.Office.Excel.Functions.SPG(A637, "SP_DEBT_TO_EQUITY", "LTM")</f>
        <v>#NAME?</v>
      </c>
      <c r="U637" s="9" t="e">
        <f t="shared" ca="1" si="9"/>
        <v>#NAME?</v>
      </c>
      <c r="Y637" s="1"/>
      <c r="Z637" s="1"/>
      <c r="AA637" s="10"/>
      <c r="AB637" s="1" t="s">
        <v>1323</v>
      </c>
      <c r="AC637" s="1" t="s">
        <v>60</v>
      </c>
      <c r="AD637" s="10">
        <v>1130.0288416000001</v>
      </c>
      <c r="AE637" s="1" t="s">
        <v>25</v>
      </c>
    </row>
    <row r="638" spans="1:31" x14ac:dyDescent="0.2">
      <c r="A638" s="1" t="s">
        <v>1324</v>
      </c>
      <c r="B638" s="2" t="s">
        <v>1408</v>
      </c>
      <c r="C638" s="3">
        <v>-21.628498727735401</v>
      </c>
      <c r="D638" s="2">
        <v>-5.42</v>
      </c>
      <c r="E638" s="2">
        <v>8.8961039999999993</v>
      </c>
      <c r="F638" s="4">
        <v>0.96399999999999997</v>
      </c>
      <c r="G638" s="4">
        <v>9.4557989848632396</v>
      </c>
      <c r="H638" s="2" t="s">
        <v>1408</v>
      </c>
      <c r="I638" s="4" t="s">
        <v>1408</v>
      </c>
      <c r="J638" s="4">
        <v>42.351296377082001</v>
      </c>
      <c r="K638" s="4">
        <v>0.80778300000000003</v>
      </c>
      <c r="L638" s="4" t="s">
        <v>1408</v>
      </c>
      <c r="N638" s="5" t="s">
        <v>1408</v>
      </c>
      <c r="O638" s="5">
        <v>58646</v>
      </c>
      <c r="P638" s="6" t="e">
        <v>#VALUE!</v>
      </c>
      <c r="Q638" s="1"/>
      <c r="R638" s="7" t="e">
        <f ca="1">_xll.SNL.Clients.Office.Excel.Functions.SPG(A638, "SP_TOTAL_DEBT", "LTM")</f>
        <v>#NAME?</v>
      </c>
      <c r="S638" s="8" t="e">
        <f ca="1">_xll.SNL.Clients.Office.Excel.Functions.SPG(A638, "SP_DEBT_TO_EQUITY", "LTM")</f>
        <v>#NAME?</v>
      </c>
      <c r="U638" s="9" t="e">
        <f t="shared" ca="1" si="9"/>
        <v>#VALUE!</v>
      </c>
      <c r="Y638" s="1"/>
      <c r="Z638" s="1"/>
      <c r="AA638" s="10"/>
      <c r="AB638" s="1" t="s">
        <v>1325</v>
      </c>
      <c r="AC638" s="1" t="s">
        <v>34</v>
      </c>
      <c r="AD638" s="10">
        <v>549.80611369999997</v>
      </c>
      <c r="AE638" s="1" t="s">
        <v>25</v>
      </c>
    </row>
    <row r="639" spans="1:31" x14ac:dyDescent="0.2">
      <c r="A639" s="1" t="s">
        <v>1326</v>
      </c>
      <c r="B639" s="2" t="s">
        <v>1408</v>
      </c>
      <c r="C639" s="3">
        <v>130.769230769231</v>
      </c>
      <c r="D639" s="2">
        <v>10.6</v>
      </c>
      <c r="E639" s="2">
        <v>9.8925929999999997</v>
      </c>
      <c r="F639" s="4">
        <v>0.90100000000000002</v>
      </c>
      <c r="G639" s="4">
        <v>10.540042723447799</v>
      </c>
      <c r="H639" s="2" t="s">
        <v>1408</v>
      </c>
      <c r="I639" s="4" t="s">
        <v>1408</v>
      </c>
      <c r="J639" s="4">
        <v>27.007608611247498</v>
      </c>
      <c r="K639" s="4">
        <v>0.98155199999999998</v>
      </c>
      <c r="L639" s="4" t="s">
        <v>1408</v>
      </c>
      <c r="N639" s="5" t="s">
        <v>1408</v>
      </c>
      <c r="O639" s="5">
        <v>165489</v>
      </c>
      <c r="P639" s="6" t="e">
        <v>#VALUE!</v>
      </c>
      <c r="Q639" s="1"/>
      <c r="R639" s="7" t="e">
        <f ca="1">_xll.SNL.Clients.Office.Excel.Functions.SPG(A639, "SP_TOTAL_DEBT", "LTM")</f>
        <v>#NAME?</v>
      </c>
      <c r="S639" s="8" t="e">
        <f ca="1">_xll.SNL.Clients.Office.Excel.Functions.SPG(A639, "SP_DEBT_TO_EQUITY", "LTM")</f>
        <v>#NAME?</v>
      </c>
      <c r="U639" s="9" t="e">
        <f t="shared" ca="1" si="9"/>
        <v>#VALUE!</v>
      </c>
      <c r="Y639" s="1"/>
      <c r="Z639" s="1"/>
      <c r="AA639" s="10"/>
      <c r="AB639" s="1" t="s">
        <v>1327</v>
      </c>
      <c r="AC639" s="1" t="s">
        <v>34</v>
      </c>
      <c r="AD639" s="10">
        <v>1648.2910946300001</v>
      </c>
      <c r="AE639" s="1" t="s">
        <v>25</v>
      </c>
    </row>
    <row r="640" spans="1:31" x14ac:dyDescent="0.2">
      <c r="A640" s="1" t="s">
        <v>1328</v>
      </c>
      <c r="B640" s="2" t="s">
        <v>1408</v>
      </c>
      <c r="C640" s="3" t="s">
        <v>1409</v>
      </c>
      <c r="D640" s="2">
        <v>203.584</v>
      </c>
      <c r="E640" s="2" t="s">
        <v>1409</v>
      </c>
      <c r="F640" s="4">
        <v>-0.8</v>
      </c>
      <c r="G640" s="4">
        <v>-4.8502700664671599</v>
      </c>
      <c r="H640" s="2">
        <v>0.17199999999999999</v>
      </c>
      <c r="I640" s="4">
        <v>1.7999999999999999E-2</v>
      </c>
      <c r="J640" s="4" t="s">
        <v>1408</v>
      </c>
      <c r="K640" s="4">
        <v>0.81451200000000001</v>
      </c>
      <c r="L640" s="4" t="s">
        <v>1408</v>
      </c>
      <c r="N640" s="5" t="s">
        <v>1408</v>
      </c>
      <c r="O640" s="5">
        <v>-106371</v>
      </c>
      <c r="P640" s="6" t="e">
        <v>#VALUE!</v>
      </c>
      <c r="Q640" s="1"/>
      <c r="R640" s="7" t="e">
        <f ca="1">_xll.SNL.Clients.Office.Excel.Functions.SPG(A640, "SP_TOTAL_DEBT", "LTM")</f>
        <v>#NAME?</v>
      </c>
      <c r="S640" s="8" t="e">
        <f ca="1">_xll.SNL.Clients.Office.Excel.Functions.SPG(A640, "SP_DEBT_TO_EQUITY", "LTM")</f>
        <v>#NAME?</v>
      </c>
      <c r="U640" s="9" t="e">
        <f t="shared" ca="1" si="9"/>
        <v>#VALUE!</v>
      </c>
      <c r="Y640" s="1"/>
      <c r="Z640" s="1"/>
      <c r="AA640" s="10"/>
      <c r="AB640" s="1" t="s">
        <v>1329</v>
      </c>
      <c r="AC640" s="1" t="s">
        <v>65</v>
      </c>
      <c r="AD640" s="10">
        <v>1285.9524542199999</v>
      </c>
      <c r="AE640" s="1" t="s">
        <v>25</v>
      </c>
    </row>
    <row r="641" spans="1:31" x14ac:dyDescent="0.2">
      <c r="A641" s="1" t="s">
        <v>1330</v>
      </c>
      <c r="B641" s="2" t="s">
        <v>1408</v>
      </c>
      <c r="C641" s="3">
        <v>-18.961625282166999</v>
      </c>
      <c r="D641" s="2">
        <v>-0.65700000000000003</v>
      </c>
      <c r="E641" s="2">
        <v>11.077994</v>
      </c>
      <c r="F641" s="4">
        <v>0.84799999999999998</v>
      </c>
      <c r="G641" s="4">
        <v>12.2269088825896</v>
      </c>
      <c r="H641" s="2" t="s">
        <v>1408</v>
      </c>
      <c r="I641" s="4" t="s">
        <v>1408</v>
      </c>
      <c r="J641" s="4">
        <v>32.609200140877</v>
      </c>
      <c r="K641" s="4">
        <v>1.245635</v>
      </c>
      <c r="L641" s="4" t="s">
        <v>1408</v>
      </c>
      <c r="N641" s="5" t="s">
        <v>1408</v>
      </c>
      <c r="O641" s="5">
        <v>350024</v>
      </c>
      <c r="P641" s="6" t="e">
        <v>#VALUE!</v>
      </c>
      <c r="Q641" s="1"/>
      <c r="R641" s="7" t="e">
        <f ca="1">_xll.SNL.Clients.Office.Excel.Functions.SPG(A641, "SP_TOTAL_DEBT", "LTM")</f>
        <v>#NAME?</v>
      </c>
      <c r="S641" s="8" t="e">
        <f ca="1">_xll.SNL.Clients.Office.Excel.Functions.SPG(A641, "SP_DEBT_TO_EQUITY", "LTM")</f>
        <v>#NAME?</v>
      </c>
      <c r="U641" s="9" t="e">
        <f t="shared" ca="1" si="9"/>
        <v>#VALUE!</v>
      </c>
      <c r="Y641" s="1"/>
      <c r="Z641" s="1"/>
      <c r="AA641" s="10"/>
      <c r="AB641" s="1" t="s">
        <v>1331</v>
      </c>
      <c r="AC641" s="1" t="s">
        <v>34</v>
      </c>
      <c r="AD641" s="10">
        <v>4003.7908349999998</v>
      </c>
      <c r="AE641" s="1" t="s">
        <v>25</v>
      </c>
    </row>
    <row r="642" spans="1:31" x14ac:dyDescent="0.2">
      <c r="A642" s="1" t="s">
        <v>1332</v>
      </c>
      <c r="B642" s="2" t="s">
        <v>1408</v>
      </c>
      <c r="C642" s="3">
        <v>-3.21428571428571</v>
      </c>
      <c r="D642" s="2">
        <v>-0.66400000000000003</v>
      </c>
      <c r="E642" s="2">
        <v>12.752768</v>
      </c>
      <c r="F642" s="4">
        <v>1.2330000000000001</v>
      </c>
      <c r="G642" s="4">
        <v>7.8707540421860003</v>
      </c>
      <c r="H642" s="2" t="s">
        <v>1408</v>
      </c>
      <c r="I642" s="4" t="s">
        <v>1408</v>
      </c>
      <c r="J642" s="4">
        <v>45.457925906819199</v>
      </c>
      <c r="K642" s="4">
        <v>0.97505900000000001</v>
      </c>
      <c r="L642" s="4" t="s">
        <v>1408</v>
      </c>
      <c r="N642" s="5" t="s">
        <v>1408</v>
      </c>
      <c r="O642" s="5">
        <v>366313</v>
      </c>
      <c r="P642" s="6" t="e">
        <v>#VALUE!</v>
      </c>
      <c r="Q642" s="1"/>
      <c r="R642" s="7" t="e">
        <f ca="1">_xll.SNL.Clients.Office.Excel.Functions.SPG(A642, "SP_TOTAL_DEBT", "LTM")</f>
        <v>#NAME?</v>
      </c>
      <c r="S642" s="8" t="e">
        <f ca="1">_xll.SNL.Clients.Office.Excel.Functions.SPG(A642, "SP_DEBT_TO_EQUITY", "LTM")</f>
        <v>#NAME?</v>
      </c>
      <c r="U642" s="9" t="e">
        <f t="shared" ca="1" si="9"/>
        <v>#VALUE!</v>
      </c>
      <c r="Y642" s="1"/>
      <c r="Z642" s="1"/>
      <c r="AA642" s="10"/>
      <c r="AB642" s="1" t="s">
        <v>1333</v>
      </c>
      <c r="AC642" s="1" t="s">
        <v>34</v>
      </c>
      <c r="AD642" s="10">
        <v>4825.9188549</v>
      </c>
      <c r="AE642" s="1" t="s">
        <v>25</v>
      </c>
    </row>
    <row r="643" spans="1:31" x14ac:dyDescent="0.2">
      <c r="A643" s="1" t="s">
        <v>1334</v>
      </c>
      <c r="B643" s="2" t="s">
        <v>1408</v>
      </c>
      <c r="C643" s="3">
        <v>-38.8888888888889</v>
      </c>
      <c r="D643" s="2">
        <v>-2.7029999999999998</v>
      </c>
      <c r="E643" s="2">
        <v>17.405722000000001</v>
      </c>
      <c r="F643" s="4">
        <v>0.73099999999999998</v>
      </c>
      <c r="G643" s="4">
        <v>5.9155725687811804</v>
      </c>
      <c r="H643" s="2" t="s">
        <v>1408</v>
      </c>
      <c r="I643" s="4" t="s">
        <v>1408</v>
      </c>
      <c r="J643" s="4">
        <v>33.948054507066601</v>
      </c>
      <c r="K643" s="4">
        <v>1.0039750000000001</v>
      </c>
      <c r="L643" s="4" t="s">
        <v>1408</v>
      </c>
      <c r="N643" s="5" t="s">
        <v>1408</v>
      </c>
      <c r="O643" s="5">
        <v>187544</v>
      </c>
      <c r="P643" s="6" t="e">
        <v>#VALUE!</v>
      </c>
      <c r="Q643" s="1"/>
      <c r="R643" s="7" t="e">
        <f ca="1">_xll.SNL.Clients.Office.Excel.Functions.SPG(A643, "SP_TOTAL_DEBT", "LTM")</f>
        <v>#NAME?</v>
      </c>
      <c r="S643" s="8" t="e">
        <f ca="1">_xll.SNL.Clients.Office.Excel.Functions.SPG(A643, "SP_DEBT_TO_EQUITY", "LTM")</f>
        <v>#NAME?</v>
      </c>
      <c r="U643" s="9" t="e">
        <f t="shared" ref="U643:U679" ca="1" si="10">N643/R643</f>
        <v>#VALUE!</v>
      </c>
      <c r="Y643" s="1"/>
      <c r="Z643" s="1"/>
      <c r="AA643" s="10"/>
      <c r="AB643" s="1" t="s">
        <v>1335</v>
      </c>
      <c r="AC643" s="1" t="s">
        <v>34</v>
      </c>
      <c r="AD643" s="10">
        <v>3253.7421214599999</v>
      </c>
      <c r="AE643" s="1" t="s">
        <v>25</v>
      </c>
    </row>
    <row r="644" spans="1:31" x14ac:dyDescent="0.2">
      <c r="A644" s="1" t="s">
        <v>1336</v>
      </c>
      <c r="B644" s="2">
        <v>1.0740000000000001</v>
      </c>
      <c r="C644" s="3">
        <v>-81.329113924050603</v>
      </c>
      <c r="D644" s="2">
        <v>-8.0570000000000004</v>
      </c>
      <c r="E644" s="2" t="s">
        <v>1409</v>
      </c>
      <c r="F644" s="4">
        <v>-0.81</v>
      </c>
      <c r="G644" s="4">
        <v>1.9227740342357</v>
      </c>
      <c r="H644" s="2">
        <v>0.35299999999999998</v>
      </c>
      <c r="I644" s="4">
        <v>0.371</v>
      </c>
      <c r="J644" s="4" t="s">
        <v>1408</v>
      </c>
      <c r="K644" s="4">
        <v>0.85318099999999997</v>
      </c>
      <c r="L644" s="4" t="s">
        <v>1409</v>
      </c>
      <c r="N644" s="5">
        <v>103305.625</v>
      </c>
      <c r="O644" s="5">
        <v>-29188</v>
      </c>
      <c r="P644" s="6">
        <v>-3.5393183842675073</v>
      </c>
      <c r="Q644" s="1"/>
      <c r="R644" s="7" t="e">
        <f ca="1">_xll.SNL.Clients.Office.Excel.Functions.SPG(A644, "SP_TOTAL_DEBT", "LTM")</f>
        <v>#NAME?</v>
      </c>
      <c r="S644" s="8" t="e">
        <f ca="1">_xll.SNL.Clients.Office.Excel.Functions.SPG(A644, "SP_DEBT_TO_EQUITY", "LTM")</f>
        <v>#NAME?</v>
      </c>
      <c r="U644" s="9" t="e">
        <f t="shared" ca="1" si="10"/>
        <v>#NAME?</v>
      </c>
      <c r="Y644" s="1"/>
      <c r="Z644" s="1"/>
      <c r="AA644" s="10"/>
      <c r="AB644" s="1" t="s">
        <v>1337</v>
      </c>
      <c r="AC644" s="1" t="s">
        <v>95</v>
      </c>
      <c r="AD644" s="10">
        <v>566.19651591000002</v>
      </c>
      <c r="AE644" s="1" t="s">
        <v>25</v>
      </c>
    </row>
    <row r="645" spans="1:31" x14ac:dyDescent="0.2">
      <c r="A645" s="1" t="s">
        <v>1338</v>
      </c>
      <c r="B645" s="2">
        <v>-2.7130000000000001</v>
      </c>
      <c r="C645" s="3" t="s">
        <v>1409</v>
      </c>
      <c r="D645" s="2">
        <v>8.9860000000000007</v>
      </c>
      <c r="E645" s="2">
        <v>6.8155010000000003</v>
      </c>
      <c r="F645" s="4">
        <v>2.2389999999999999</v>
      </c>
      <c r="G645" s="4">
        <v>-6.4404396062294902</v>
      </c>
      <c r="H645" s="2">
        <v>0.65</v>
      </c>
      <c r="I645" s="4">
        <v>0.47399999999999998</v>
      </c>
      <c r="J645" s="4" t="s">
        <v>1408</v>
      </c>
      <c r="K645" s="4">
        <v>1.5663119999999999</v>
      </c>
      <c r="L645" s="4">
        <v>2.2277260000000001</v>
      </c>
      <c r="N645" s="5">
        <v>355203.5</v>
      </c>
      <c r="O645" s="5">
        <v>71935</v>
      </c>
      <c r="P645" s="6">
        <v>4.9378397164106484</v>
      </c>
      <c r="Q645" s="1"/>
      <c r="R645" s="7" t="e">
        <f ca="1">_xll.SNL.Clients.Office.Excel.Functions.SPG(A645, "SP_TOTAL_DEBT", "LTM")</f>
        <v>#NAME?</v>
      </c>
      <c r="S645" s="8" t="e">
        <f ca="1">_xll.SNL.Clients.Office.Excel.Functions.SPG(A645, "SP_DEBT_TO_EQUITY", "LTM")</f>
        <v>#NAME?</v>
      </c>
      <c r="U645" s="9" t="e">
        <f t="shared" ca="1" si="10"/>
        <v>#NAME?</v>
      </c>
      <c r="Y645" s="1"/>
      <c r="Z645" s="1"/>
      <c r="AA645" s="10"/>
      <c r="AB645" s="1" t="s">
        <v>1339</v>
      </c>
      <c r="AC645" s="1" t="s">
        <v>95</v>
      </c>
      <c r="AD645" s="10">
        <v>485.06812896000002</v>
      </c>
      <c r="AE645" s="1" t="s">
        <v>25</v>
      </c>
    </row>
    <row r="646" spans="1:31" x14ac:dyDescent="0.2">
      <c r="A646" s="1" t="s">
        <v>1340</v>
      </c>
      <c r="B646" s="2" t="s">
        <v>1408</v>
      </c>
      <c r="C646" s="3">
        <v>-8.7121212121212093</v>
      </c>
      <c r="D646" s="2">
        <v>0.72799999999999998</v>
      </c>
      <c r="E646" s="2">
        <v>8.2614110000000007</v>
      </c>
      <c r="F646" s="4">
        <v>1.0680000000000001</v>
      </c>
      <c r="G646" s="4">
        <v>8.8254824884226402</v>
      </c>
      <c r="H646" s="2" t="s">
        <v>1408</v>
      </c>
      <c r="I646" s="4" t="s">
        <v>1408</v>
      </c>
      <c r="J646" s="4">
        <v>30.4499597739261</v>
      </c>
      <c r="K646" s="4">
        <v>0.70016900000000004</v>
      </c>
      <c r="L646" s="4" t="s">
        <v>1408</v>
      </c>
      <c r="N646" s="5" t="s">
        <v>1408</v>
      </c>
      <c r="O646" s="5">
        <v>71104</v>
      </c>
      <c r="P646" s="6" t="e">
        <v>#VALUE!</v>
      </c>
      <c r="Q646" s="1"/>
      <c r="R646" s="7" t="e">
        <f ca="1">_xll.SNL.Clients.Office.Excel.Functions.SPG(A646, "SP_TOTAL_DEBT", "LTM")</f>
        <v>#NAME?</v>
      </c>
      <c r="S646" s="8" t="e">
        <f ca="1">_xll.SNL.Clients.Office.Excel.Functions.SPG(A646, "SP_DEBT_TO_EQUITY", "LTM")</f>
        <v>#NAME?</v>
      </c>
      <c r="U646" s="9" t="e">
        <f t="shared" ca="1" si="10"/>
        <v>#VALUE!</v>
      </c>
      <c r="Y646" s="1"/>
      <c r="Z646" s="1"/>
      <c r="AA646" s="10"/>
      <c r="AB646" s="1" t="s">
        <v>1341</v>
      </c>
      <c r="AC646" s="1" t="s">
        <v>34</v>
      </c>
      <c r="AD646" s="10">
        <v>626.75263872000005</v>
      </c>
      <c r="AE646" s="1" t="s">
        <v>25</v>
      </c>
    </row>
    <row r="647" spans="1:31" x14ac:dyDescent="0.2">
      <c r="A647" s="1" t="s">
        <v>1342</v>
      </c>
      <c r="B647" s="2">
        <v>8.8510000000000009</v>
      </c>
      <c r="C647" s="3">
        <v>-6.6091954022988499</v>
      </c>
      <c r="D647" s="2">
        <v>3.2930000000000001</v>
      </c>
      <c r="E647" s="2">
        <v>7.3123079999999998</v>
      </c>
      <c r="F647" s="4">
        <v>1.839</v>
      </c>
      <c r="G647" s="4">
        <v>13.7655945915517</v>
      </c>
      <c r="H647" s="2">
        <v>22.873999999999999</v>
      </c>
      <c r="I647" s="4">
        <v>0.19900000000000001</v>
      </c>
      <c r="J647" s="4" t="s">
        <v>1408</v>
      </c>
      <c r="K647" s="4">
        <v>0.952295</v>
      </c>
      <c r="L647" s="4">
        <v>6.3927949999999996</v>
      </c>
      <c r="N647" s="5" t="s">
        <v>1408</v>
      </c>
      <c r="O647" s="5">
        <v>1283800</v>
      </c>
      <c r="P647" s="6" t="e">
        <v>#VALUE!</v>
      </c>
      <c r="Q647" s="1"/>
      <c r="R647" s="7" t="e">
        <f ca="1">_xll.SNL.Clients.Office.Excel.Functions.SPG(A647, "SP_TOTAL_DEBT", "LTM")</f>
        <v>#NAME?</v>
      </c>
      <c r="S647" s="8" t="e">
        <f ca="1">_xll.SNL.Clients.Office.Excel.Functions.SPG(A647, "SP_DEBT_TO_EQUITY", "LTM")</f>
        <v>#NAME?</v>
      </c>
      <c r="U647" s="9" t="e">
        <f t="shared" ca="1" si="10"/>
        <v>#VALUE!</v>
      </c>
      <c r="Y647" s="1"/>
      <c r="Z647" s="1"/>
      <c r="AA647" s="10"/>
      <c r="AB647" s="1" t="s">
        <v>1343</v>
      </c>
      <c r="AC647" s="1" t="s">
        <v>60</v>
      </c>
      <c r="AD647" s="10">
        <v>9347.6073140000008</v>
      </c>
      <c r="AE647" s="1" t="s">
        <v>25</v>
      </c>
    </row>
    <row r="648" spans="1:31" x14ac:dyDescent="0.2">
      <c r="A648" s="1" t="s">
        <v>1344</v>
      </c>
      <c r="B648" s="2">
        <v>-3.83</v>
      </c>
      <c r="C648" s="3" t="s">
        <v>1409</v>
      </c>
      <c r="D648" s="2">
        <v>0.16700000000000001</v>
      </c>
      <c r="E648" s="2" t="s">
        <v>1409</v>
      </c>
      <c r="F648" s="4">
        <v>-7.149</v>
      </c>
      <c r="G648" s="4">
        <v>-14.0580248484791</v>
      </c>
      <c r="H648" s="2">
        <v>27.222999999999999</v>
      </c>
      <c r="I648" s="4">
        <v>0.27900000000000003</v>
      </c>
      <c r="J648" s="4" t="s">
        <v>1408</v>
      </c>
      <c r="K648" s="4">
        <v>4.4187900000000004</v>
      </c>
      <c r="L648" s="4" t="s">
        <v>1409</v>
      </c>
      <c r="N648" s="5">
        <v>-199596.125</v>
      </c>
      <c r="O648" s="5">
        <v>-252997</v>
      </c>
      <c r="P648" s="6">
        <v>0.78892684498235155</v>
      </c>
      <c r="Q648" s="1"/>
      <c r="R648" s="7" t="e">
        <f ca="1">_xll.SNL.Clients.Office.Excel.Functions.SPG(A648, "SP_TOTAL_DEBT", "LTM")</f>
        <v>#NAME?</v>
      </c>
      <c r="S648" s="8" t="e">
        <f ca="1">_xll.SNL.Clients.Office.Excel.Functions.SPG(A648, "SP_DEBT_TO_EQUITY", "LTM")</f>
        <v>#NAME?</v>
      </c>
      <c r="U648" s="9" t="e">
        <f t="shared" ca="1" si="10"/>
        <v>#NAME?</v>
      </c>
      <c r="Y648" s="1"/>
      <c r="Z648" s="1"/>
      <c r="AA648" s="10"/>
      <c r="AB648" s="1" t="s">
        <v>1345</v>
      </c>
      <c r="AC648" s="1" t="s">
        <v>82</v>
      </c>
      <c r="AD648" s="10">
        <v>2701.4203879199999</v>
      </c>
      <c r="AE648" s="1" t="s">
        <v>25</v>
      </c>
    </row>
    <row r="649" spans="1:31" x14ac:dyDescent="0.2">
      <c r="A649" s="1" t="s">
        <v>1346</v>
      </c>
      <c r="B649" s="2">
        <v>4.5220000000000002</v>
      </c>
      <c r="C649" s="3">
        <v>-31.818181818181799</v>
      </c>
      <c r="D649" s="2">
        <v>-41.273000000000003</v>
      </c>
      <c r="E649" s="2">
        <v>47.260274000000003</v>
      </c>
      <c r="F649" s="4">
        <v>3.5249999999999999</v>
      </c>
      <c r="G649" s="4">
        <v>28.775428215518801</v>
      </c>
      <c r="H649" s="2">
        <v>1.9470000000000001</v>
      </c>
      <c r="I649" s="4">
        <v>0.17399999999999999</v>
      </c>
      <c r="J649" s="4">
        <v>23.4979231881664</v>
      </c>
      <c r="K649" s="4">
        <v>4.9005679999999998</v>
      </c>
      <c r="L649" s="4">
        <v>15.234476000000001</v>
      </c>
      <c r="N649" s="5">
        <v>1240812</v>
      </c>
      <c r="O649" s="5">
        <v>328690</v>
      </c>
      <c r="P649" s="6">
        <v>3.7750220572575985</v>
      </c>
      <c r="Q649" s="1"/>
      <c r="R649" s="7" t="e">
        <f ca="1">_xll.SNL.Clients.Office.Excel.Functions.SPG(A649, "SP_TOTAL_DEBT", "LTM")</f>
        <v>#NAME?</v>
      </c>
      <c r="S649" s="8" t="e">
        <f ca="1">_xll.SNL.Clients.Office.Excel.Functions.SPG(A649, "SP_DEBT_TO_EQUITY", "LTM")</f>
        <v>#NAME?</v>
      </c>
      <c r="U649" s="9" t="e">
        <f t="shared" ca="1" si="10"/>
        <v>#NAME?</v>
      </c>
      <c r="Y649" s="1"/>
      <c r="Z649" s="1"/>
      <c r="AA649" s="10"/>
      <c r="AB649" s="1" t="s">
        <v>1347</v>
      </c>
      <c r="AC649" s="1" t="s">
        <v>164</v>
      </c>
      <c r="AD649" s="10">
        <v>627.48360230000003</v>
      </c>
      <c r="AE649" s="1" t="s">
        <v>25</v>
      </c>
    </row>
    <row r="650" spans="1:31" x14ac:dyDescent="0.2">
      <c r="A650" s="1" t="s">
        <v>1348</v>
      </c>
      <c r="B650" s="2" t="s">
        <v>1408</v>
      </c>
      <c r="C650" s="3">
        <v>-16.6666666666667</v>
      </c>
      <c r="D650" s="2">
        <v>1.6619999999999999</v>
      </c>
      <c r="E650" s="2">
        <v>8.6</v>
      </c>
      <c r="F650" s="4">
        <v>0.84199999999999997</v>
      </c>
      <c r="G650" s="4">
        <v>7.60068049365369</v>
      </c>
      <c r="H650" s="2" t="s">
        <v>1408</v>
      </c>
      <c r="I650" s="4" t="s">
        <v>1408</v>
      </c>
      <c r="J650" s="4">
        <v>39.551508934459399</v>
      </c>
      <c r="K650" s="4">
        <v>0.63897999999999999</v>
      </c>
      <c r="L650" s="4" t="s">
        <v>1408</v>
      </c>
      <c r="N650" s="5" t="s">
        <v>1408</v>
      </c>
      <c r="O650" s="5">
        <v>498511</v>
      </c>
      <c r="P650" s="6" t="e">
        <v>#VALUE!</v>
      </c>
      <c r="Q650" s="1"/>
      <c r="R650" s="7" t="e">
        <f ca="1">_xll.SNL.Clients.Office.Excel.Functions.SPG(A650, "SP_TOTAL_DEBT", "LTM")</f>
        <v>#NAME?</v>
      </c>
      <c r="S650" s="8" t="e">
        <f ca="1">_xll.SNL.Clients.Office.Excel.Functions.SPG(A650, "SP_DEBT_TO_EQUITY", "LTM")</f>
        <v>#NAME?</v>
      </c>
      <c r="U650" s="9" t="e">
        <f t="shared" ca="1" si="10"/>
        <v>#VALUE!</v>
      </c>
      <c r="Y650" s="1"/>
      <c r="Z650" s="1"/>
      <c r="AA650" s="10"/>
      <c r="AB650" s="1" t="s">
        <v>1349</v>
      </c>
      <c r="AC650" s="1" t="s">
        <v>34</v>
      </c>
      <c r="AD650" s="10">
        <v>4884.1694977400002</v>
      </c>
      <c r="AE650" s="1" t="s">
        <v>25</v>
      </c>
    </row>
    <row r="651" spans="1:31" x14ac:dyDescent="0.2">
      <c r="A651" s="1" t="s">
        <v>1350</v>
      </c>
      <c r="B651" s="2" t="s">
        <v>1408</v>
      </c>
      <c r="C651" s="3" t="s">
        <v>1408</v>
      </c>
      <c r="D651" s="2" t="s">
        <v>1409</v>
      </c>
      <c r="E651" s="2" t="s">
        <v>1409</v>
      </c>
      <c r="F651" s="4">
        <v>-2.1000000000000001E-2</v>
      </c>
      <c r="G651" s="4">
        <v>10.6571402414466</v>
      </c>
      <c r="H651" s="2">
        <v>0.58499999999999996</v>
      </c>
      <c r="I651" s="4">
        <v>0.107</v>
      </c>
      <c r="J651" s="4" t="s">
        <v>1408</v>
      </c>
      <c r="K651" s="4">
        <v>2.6522380000000001</v>
      </c>
      <c r="L651" s="4" t="s">
        <v>1408</v>
      </c>
      <c r="N651" s="5" t="s">
        <v>1408</v>
      </c>
      <c r="O651" s="5">
        <v>-3159.5790000000002</v>
      </c>
      <c r="P651" s="6" t="e">
        <v>#VALUE!</v>
      </c>
      <c r="Q651" s="1"/>
      <c r="R651" s="7" t="e">
        <f ca="1">_xll.SNL.Clients.Office.Excel.Functions.SPG(A651, "SP_TOTAL_DEBT", "LTM")</f>
        <v>#NAME?</v>
      </c>
      <c r="S651" s="8" t="e">
        <f ca="1">_xll.SNL.Clients.Office.Excel.Functions.SPG(A651, "SP_DEBT_TO_EQUITY", "LTM")</f>
        <v>#NAME?</v>
      </c>
      <c r="U651" s="9" t="e">
        <f t="shared" ca="1" si="10"/>
        <v>#VALUE!</v>
      </c>
      <c r="Y651" s="1"/>
      <c r="Z651" s="1"/>
      <c r="AA651" s="10"/>
      <c r="AB651" s="1" t="s">
        <v>1351</v>
      </c>
      <c r="AC651" s="1" t="s">
        <v>174</v>
      </c>
      <c r="AD651" s="10">
        <v>872.42015383366004</v>
      </c>
      <c r="AE651" s="1" t="s">
        <v>42</v>
      </c>
    </row>
    <row r="652" spans="1:31" x14ac:dyDescent="0.2">
      <c r="A652" s="1" t="s">
        <v>1352</v>
      </c>
      <c r="B652" s="2">
        <v>8.109</v>
      </c>
      <c r="C652" s="3">
        <v>-23.6</v>
      </c>
      <c r="D652" s="2">
        <v>-2.048</v>
      </c>
      <c r="E652" s="2">
        <v>23.554604000000001</v>
      </c>
      <c r="F652" s="4">
        <v>5.4029999999999996</v>
      </c>
      <c r="G652" s="4">
        <v>22.344510328879402</v>
      </c>
      <c r="H652" s="2">
        <v>3.0449999999999999</v>
      </c>
      <c r="I652" s="4">
        <v>0.30199999999999999</v>
      </c>
      <c r="J652" s="4" t="s">
        <v>1408</v>
      </c>
      <c r="K652" s="4">
        <v>4.8378230000000002</v>
      </c>
      <c r="L652" s="4">
        <v>14.345179</v>
      </c>
      <c r="N652" s="5">
        <v>5551.25</v>
      </c>
      <c r="O652" s="5">
        <v>17628</v>
      </c>
      <c r="P652" s="6">
        <v>0.31491093714545043</v>
      </c>
      <c r="Q652" s="1"/>
      <c r="R652" s="7" t="e">
        <f ca="1">_xll.SNL.Clients.Office.Excel.Functions.SPG(A652, "SP_TOTAL_DEBT", "LTM")</f>
        <v>#NAME?</v>
      </c>
      <c r="S652" s="8" t="e">
        <f ca="1">_xll.SNL.Clients.Office.Excel.Functions.SPG(A652, "SP_DEBT_TO_EQUITY", "LTM")</f>
        <v>#NAME?</v>
      </c>
      <c r="U652" s="9" t="e">
        <f t="shared" ca="1" si="10"/>
        <v>#NAME?</v>
      </c>
      <c r="Y652" s="1"/>
      <c r="Z652" s="1"/>
      <c r="AA652" s="10"/>
      <c r="AB652" s="1" t="s">
        <v>1353</v>
      </c>
      <c r="AC652" s="1" t="s">
        <v>156</v>
      </c>
      <c r="AD652" s="10">
        <v>420.44344180000002</v>
      </c>
      <c r="AE652" s="1" t="s">
        <v>25</v>
      </c>
    </row>
    <row r="653" spans="1:31" x14ac:dyDescent="0.2">
      <c r="A653" s="1" t="s">
        <v>1354</v>
      </c>
      <c r="B653" s="2" t="s">
        <v>1408</v>
      </c>
      <c r="C653" s="3">
        <v>9.3023255813953405</v>
      </c>
      <c r="D653" s="2">
        <v>5.8769999999999998</v>
      </c>
      <c r="E653" s="2">
        <v>12.549329</v>
      </c>
      <c r="F653" s="4">
        <v>1.117</v>
      </c>
      <c r="G653" s="4">
        <v>9.0288358288105606</v>
      </c>
      <c r="H653" s="2">
        <v>12.972</v>
      </c>
      <c r="I653" s="4">
        <v>2.9000000000000001E-2</v>
      </c>
      <c r="J653" s="4">
        <v>39.646581729607597</v>
      </c>
      <c r="K653" s="4">
        <v>1.25187</v>
      </c>
      <c r="L653" s="4" t="s">
        <v>1408</v>
      </c>
      <c r="N653" s="5" t="s">
        <v>1408</v>
      </c>
      <c r="O653" s="5">
        <v>43353</v>
      </c>
      <c r="P653" s="6" t="e">
        <v>#VALUE!</v>
      </c>
      <c r="Q653" s="1"/>
      <c r="R653" s="7" t="e">
        <f ca="1">_xll.SNL.Clients.Office.Excel.Functions.SPG(A653, "SP_TOTAL_DEBT", "LTM")</f>
        <v>#NAME?</v>
      </c>
      <c r="S653" s="8" t="e">
        <f ca="1">_xll.SNL.Clients.Office.Excel.Functions.SPG(A653, "SP_DEBT_TO_EQUITY", "LTM")</f>
        <v>#NAME?</v>
      </c>
      <c r="U653" s="9" t="e">
        <f t="shared" ca="1" si="10"/>
        <v>#VALUE!</v>
      </c>
      <c r="Y653" s="1"/>
      <c r="Z653" s="1"/>
      <c r="AA653" s="10"/>
      <c r="AB653" s="1" t="s">
        <v>1355</v>
      </c>
      <c r="AC653" s="1" t="s">
        <v>164</v>
      </c>
      <c r="AD653" s="10">
        <v>516.31596449999995</v>
      </c>
      <c r="AE653" s="1" t="s">
        <v>25</v>
      </c>
    </row>
    <row r="654" spans="1:31" x14ac:dyDescent="0.2">
      <c r="A654" s="1" t="s">
        <v>1356</v>
      </c>
      <c r="B654" s="2">
        <v>10.776</v>
      </c>
      <c r="C654" s="3">
        <v>76.075268817204304</v>
      </c>
      <c r="D654" s="2">
        <v>1.401</v>
      </c>
      <c r="E654" s="2">
        <v>74.593215000000001</v>
      </c>
      <c r="F654" s="4">
        <v>8.0730000000000004</v>
      </c>
      <c r="G654" s="4">
        <v>40.795126643154902</v>
      </c>
      <c r="H654" s="2">
        <v>1.1839999999999999</v>
      </c>
      <c r="I654" s="4">
        <v>0.46500000000000002</v>
      </c>
      <c r="J654" s="4" t="s">
        <v>1408</v>
      </c>
      <c r="K654" s="4">
        <v>93.691553999999996</v>
      </c>
      <c r="L654" s="4">
        <v>43.385308000000002</v>
      </c>
      <c r="N654" s="5">
        <v>498187.5</v>
      </c>
      <c r="O654" s="5">
        <v>501800</v>
      </c>
      <c r="P654" s="6">
        <v>0.99280091669988046</v>
      </c>
      <c r="Q654" s="1"/>
      <c r="R654" s="7" t="e">
        <f ca="1">_xll.SNL.Clients.Office.Excel.Functions.SPG(A654, "SP_TOTAL_DEBT", "LTM")</f>
        <v>#NAME?</v>
      </c>
      <c r="S654" s="8" t="e">
        <f ca="1">_xll.SNL.Clients.Office.Excel.Functions.SPG(A654, "SP_DEBT_TO_EQUITY", "LTM")</f>
        <v>#NAME?</v>
      </c>
      <c r="U654" s="9" t="e">
        <f t="shared" ca="1" si="10"/>
        <v>#NAME?</v>
      </c>
      <c r="Y654" s="1"/>
      <c r="Z654" s="1"/>
      <c r="AA654" s="10"/>
      <c r="AB654" s="1" t="s">
        <v>1357</v>
      </c>
      <c r="AC654" s="1" t="s">
        <v>156</v>
      </c>
      <c r="AD654" s="10">
        <v>35018.60335374</v>
      </c>
      <c r="AE654" s="1" t="s">
        <v>25</v>
      </c>
    </row>
    <row r="655" spans="1:31" x14ac:dyDescent="0.2">
      <c r="A655" s="1" t="s">
        <v>1358</v>
      </c>
      <c r="B655" s="2" t="s">
        <v>1408</v>
      </c>
      <c r="C655" s="3">
        <v>-26.937269372693699</v>
      </c>
      <c r="D655" s="2">
        <v>-3.069</v>
      </c>
      <c r="E655" s="2">
        <v>10.090909</v>
      </c>
      <c r="F655" s="4">
        <v>0.88200000000000001</v>
      </c>
      <c r="G655" s="4">
        <v>7.21006976240822</v>
      </c>
      <c r="H655" s="2" t="s">
        <v>1408</v>
      </c>
      <c r="I655" s="4" t="s">
        <v>1408</v>
      </c>
      <c r="J655" s="4" t="s">
        <v>1408</v>
      </c>
      <c r="K655" s="4">
        <v>0.70898799999999995</v>
      </c>
      <c r="L655" s="4" t="s">
        <v>1408</v>
      </c>
      <c r="N655" s="5" t="s">
        <v>1408</v>
      </c>
      <c r="O655" s="5">
        <v>108261</v>
      </c>
      <c r="P655" s="6" t="e">
        <v>#VALUE!</v>
      </c>
      <c r="Q655" s="1"/>
      <c r="R655" s="7" t="e">
        <f ca="1">_xll.SNL.Clients.Office.Excel.Functions.SPG(A655, "SP_TOTAL_DEBT", "LTM")</f>
        <v>#NAME?</v>
      </c>
      <c r="S655" s="8" t="e">
        <f ca="1">_xll.SNL.Clients.Office.Excel.Functions.SPG(A655, "SP_DEBT_TO_EQUITY", "LTM")</f>
        <v>#NAME?</v>
      </c>
      <c r="U655" s="9" t="e">
        <f t="shared" ca="1" si="10"/>
        <v>#VALUE!</v>
      </c>
      <c r="Y655" s="1"/>
      <c r="Z655" s="1"/>
      <c r="AA655" s="10"/>
      <c r="AB655" s="1" t="s">
        <v>1359</v>
      </c>
      <c r="AC655" s="1" t="s">
        <v>34</v>
      </c>
      <c r="AD655" s="10">
        <v>1141.64138</v>
      </c>
      <c r="AE655" s="1" t="s">
        <v>25</v>
      </c>
    </row>
    <row r="656" spans="1:31" x14ac:dyDescent="0.2">
      <c r="A656" s="1" t="s">
        <v>1360</v>
      </c>
      <c r="B656" s="2">
        <v>11.226000000000001</v>
      </c>
      <c r="C656" s="3">
        <v>1.6</v>
      </c>
      <c r="D656" s="2">
        <v>-3.984</v>
      </c>
      <c r="E656" s="2">
        <v>11.312232</v>
      </c>
      <c r="F656" s="4">
        <v>8.4380000000000006</v>
      </c>
      <c r="G656" s="4">
        <v>26.950557361494202</v>
      </c>
      <c r="H656" s="2">
        <v>2.2360000000000002</v>
      </c>
      <c r="I656" s="4">
        <v>0.315</v>
      </c>
      <c r="J656" s="4" t="s">
        <v>1408</v>
      </c>
      <c r="K656" s="4">
        <v>2.1014270000000002</v>
      </c>
      <c r="L656" s="4">
        <v>7.7485369999999998</v>
      </c>
      <c r="N656" s="5">
        <v>276855.625</v>
      </c>
      <c r="O656" s="5">
        <v>210220</v>
      </c>
      <c r="P656" s="6">
        <v>1.316980425268766</v>
      </c>
      <c r="Q656" s="1"/>
      <c r="R656" s="7" t="e">
        <f ca="1">_xll.SNL.Clients.Office.Excel.Functions.SPG(A656, "SP_TOTAL_DEBT", "LTM")</f>
        <v>#NAME?</v>
      </c>
      <c r="S656" s="8" t="e">
        <f ca="1">_xll.SNL.Clients.Office.Excel.Functions.SPG(A656, "SP_DEBT_TO_EQUITY", "LTM")</f>
        <v>#NAME?</v>
      </c>
      <c r="U656" s="9" t="e">
        <f t="shared" ca="1" si="10"/>
        <v>#NAME?</v>
      </c>
      <c r="Y656" s="1"/>
      <c r="Z656" s="1"/>
      <c r="AA656" s="10"/>
      <c r="AB656" s="1" t="s">
        <v>1361</v>
      </c>
      <c r="AC656" s="1" t="s">
        <v>37</v>
      </c>
      <c r="AD656" s="10">
        <v>2225.8234401700001</v>
      </c>
      <c r="AE656" s="1" t="s">
        <v>25</v>
      </c>
    </row>
    <row r="657" spans="1:31" x14ac:dyDescent="0.2">
      <c r="A657" s="1" t="s">
        <v>1362</v>
      </c>
      <c r="B657" s="2">
        <v>7.3840000000000003</v>
      </c>
      <c r="C657" s="3">
        <v>1.8567639257294399</v>
      </c>
      <c r="D657" s="2">
        <v>-12.324</v>
      </c>
      <c r="E657" s="2">
        <v>13.572023</v>
      </c>
      <c r="F657" s="4">
        <v>7.3019999999999996</v>
      </c>
      <c r="G657" s="4">
        <v>15.8708822088782</v>
      </c>
      <c r="H657" s="2">
        <v>6.9089999999999998</v>
      </c>
      <c r="I657" s="4">
        <v>0.252</v>
      </c>
      <c r="J657" s="4" t="s">
        <v>1408</v>
      </c>
      <c r="K657" s="4">
        <v>2.1722269999999999</v>
      </c>
      <c r="L657" s="4">
        <v>8.243601</v>
      </c>
      <c r="N657" s="5" t="s">
        <v>1408</v>
      </c>
      <c r="O657" s="5">
        <v>214565</v>
      </c>
      <c r="P657" s="6" t="e">
        <v>#VALUE!</v>
      </c>
      <c r="Q657" s="1"/>
      <c r="R657" s="7" t="e">
        <f ca="1">_xll.SNL.Clients.Office.Excel.Functions.SPG(A657, "SP_TOTAL_DEBT", "LTM")</f>
        <v>#NAME?</v>
      </c>
      <c r="S657" s="8" t="e">
        <f ca="1">_xll.SNL.Clients.Office.Excel.Functions.SPG(A657, "SP_DEBT_TO_EQUITY", "LTM")</f>
        <v>#NAME?</v>
      </c>
      <c r="U657" s="9" t="e">
        <f t="shared" ca="1" si="10"/>
        <v>#VALUE!</v>
      </c>
      <c r="Y657" s="1"/>
      <c r="Z657" s="1"/>
      <c r="AA657" s="10"/>
      <c r="AB657" s="1" t="s">
        <v>1363</v>
      </c>
      <c r="AC657" s="1" t="s">
        <v>37</v>
      </c>
      <c r="AD657" s="10">
        <v>566.73413431999995</v>
      </c>
      <c r="AE657" s="1" t="s">
        <v>42</v>
      </c>
    </row>
    <row r="658" spans="1:31" x14ac:dyDescent="0.2">
      <c r="A658" s="1" t="s">
        <v>1364</v>
      </c>
      <c r="B658" s="2" t="s">
        <v>1408</v>
      </c>
      <c r="C658" s="3">
        <v>-41.8032786885246</v>
      </c>
      <c r="D658" s="2">
        <v>-16.062999999999999</v>
      </c>
      <c r="E658" s="2">
        <v>11.443662</v>
      </c>
      <c r="F658" s="4">
        <v>2.1070000000000002</v>
      </c>
      <c r="G658" s="4">
        <v>16.954104141404201</v>
      </c>
      <c r="H658" s="2">
        <v>1.1120000000000001</v>
      </c>
      <c r="I658" s="4">
        <v>0.13500000000000001</v>
      </c>
      <c r="J658" s="4" t="s">
        <v>1408</v>
      </c>
      <c r="K658" s="4">
        <v>1.0432049999999999</v>
      </c>
      <c r="L658" s="4" t="s">
        <v>1408</v>
      </c>
      <c r="N658" s="5" t="s">
        <v>1408</v>
      </c>
      <c r="O658" s="5">
        <v>263921</v>
      </c>
      <c r="P658" s="6" t="e">
        <v>#VALUE!</v>
      </c>
      <c r="Q658" s="1"/>
      <c r="R658" s="7" t="e">
        <f ca="1">_xll.SNL.Clients.Office.Excel.Functions.SPG(A658, "SP_TOTAL_DEBT", "LTM")</f>
        <v>#NAME?</v>
      </c>
      <c r="S658" s="8" t="e">
        <f ca="1">_xll.SNL.Clients.Office.Excel.Functions.SPG(A658, "SP_DEBT_TO_EQUITY", "LTM")</f>
        <v>#NAME?</v>
      </c>
      <c r="U658" s="9" t="e">
        <f t="shared" ca="1" si="10"/>
        <v>#VALUE!</v>
      </c>
      <c r="Y658" s="1"/>
      <c r="Z658" s="1"/>
      <c r="AA658" s="10"/>
      <c r="AB658" s="1" t="s">
        <v>1365</v>
      </c>
      <c r="AC658" s="1" t="s">
        <v>174</v>
      </c>
      <c r="AD658" s="10">
        <v>1519.10639545</v>
      </c>
      <c r="AE658" s="1" t="s">
        <v>25</v>
      </c>
    </row>
    <row r="659" spans="1:31" x14ac:dyDescent="0.2">
      <c r="A659" s="1" t="s">
        <v>1366</v>
      </c>
      <c r="B659" s="2">
        <v>7.1429999999999998</v>
      </c>
      <c r="C659" s="3">
        <v>14.258064516129</v>
      </c>
      <c r="D659" s="2">
        <v>-4.6379999999999999</v>
      </c>
      <c r="E659" s="2">
        <v>12.987012999999999</v>
      </c>
      <c r="F659" s="4" t="s">
        <v>1408</v>
      </c>
      <c r="G659" s="4" t="s">
        <v>1408</v>
      </c>
      <c r="H659" s="2" t="s">
        <v>1408</v>
      </c>
      <c r="I659" s="4" t="s">
        <v>1408</v>
      </c>
      <c r="J659" s="4" t="s">
        <v>1408</v>
      </c>
      <c r="K659" s="4">
        <v>1.916283</v>
      </c>
      <c r="L659" s="4">
        <v>7.9234249999999999</v>
      </c>
      <c r="N659" s="5" t="s">
        <v>1408</v>
      </c>
      <c r="O659" s="5">
        <v>141476</v>
      </c>
      <c r="P659" s="6" t="e">
        <v>#VALUE!</v>
      </c>
      <c r="Q659" s="1"/>
      <c r="R659" s="7" t="e">
        <f ca="1">_xll.SNL.Clients.Office.Excel.Functions.SPG(A659, "SP_TOTAL_DEBT", "LTM")</f>
        <v>#NAME?</v>
      </c>
      <c r="S659" s="8" t="e">
        <f ca="1">_xll.SNL.Clients.Office.Excel.Functions.SPG(A659, "SP_DEBT_TO_EQUITY", "LTM")</f>
        <v>#NAME?</v>
      </c>
      <c r="U659" s="9" t="e">
        <f t="shared" ca="1" si="10"/>
        <v>#VALUE!</v>
      </c>
      <c r="Y659" s="1"/>
      <c r="Z659" s="1"/>
      <c r="AA659" s="10"/>
      <c r="AB659" s="1" t="s">
        <v>1367</v>
      </c>
      <c r="AC659" s="1" t="s">
        <v>37</v>
      </c>
      <c r="AD659" s="10">
        <v>1696.4477527900001</v>
      </c>
      <c r="AE659" s="1" t="s">
        <v>25</v>
      </c>
    </row>
    <row r="660" spans="1:31" x14ac:dyDescent="0.2">
      <c r="A660" s="1" t="s">
        <v>1368</v>
      </c>
      <c r="B660" s="2">
        <v>5.2089999999999996</v>
      </c>
      <c r="C660" s="3">
        <v>26.046511627907002</v>
      </c>
      <c r="D660" s="2">
        <v>24.08</v>
      </c>
      <c r="E660" s="2">
        <v>12.802355</v>
      </c>
      <c r="F660" s="4">
        <v>0.33200000000000002</v>
      </c>
      <c r="G660" s="4">
        <v>13.8734923995528</v>
      </c>
      <c r="H660" s="2">
        <v>14.718999999999999</v>
      </c>
      <c r="I660" s="4">
        <v>4.8000000000000001E-2</v>
      </c>
      <c r="J660" s="4" t="s">
        <v>1408</v>
      </c>
      <c r="K660" s="4">
        <v>1.798521</v>
      </c>
      <c r="L660" s="4">
        <v>13.633936</v>
      </c>
      <c r="N660" s="5" t="s">
        <v>1408</v>
      </c>
      <c r="O660" s="5">
        <v>729000</v>
      </c>
      <c r="P660" s="6" t="e">
        <v>#VALUE!</v>
      </c>
      <c r="Q660" s="1"/>
      <c r="R660" s="7" t="e">
        <f ca="1">_xll.SNL.Clients.Office.Excel.Functions.SPG(A660, "SP_TOTAL_DEBT", "LTM")</f>
        <v>#NAME?</v>
      </c>
      <c r="S660" s="8" t="e">
        <f ca="1">_xll.SNL.Clients.Office.Excel.Functions.SPG(A660, "SP_DEBT_TO_EQUITY", "LTM")</f>
        <v>#NAME?</v>
      </c>
      <c r="U660" s="9" t="e">
        <f t="shared" ca="1" si="10"/>
        <v>#VALUE!</v>
      </c>
      <c r="Y660" s="1"/>
      <c r="Z660" s="1"/>
      <c r="AA660" s="10"/>
      <c r="AB660" s="1" t="s">
        <v>1369</v>
      </c>
      <c r="AC660" s="1" t="s">
        <v>60</v>
      </c>
      <c r="AD660" s="10">
        <v>7560.3492323700002</v>
      </c>
      <c r="AE660" s="1" t="s">
        <v>25</v>
      </c>
    </row>
    <row r="661" spans="1:31" x14ac:dyDescent="0.2">
      <c r="A661" s="1" t="s">
        <v>1370</v>
      </c>
      <c r="B661" s="2">
        <v>12.103</v>
      </c>
      <c r="C661" s="3">
        <v>2.2267206477732699</v>
      </c>
      <c r="D661" s="2">
        <v>8.7439999999999998</v>
      </c>
      <c r="E661" s="2">
        <v>15.938613999999999</v>
      </c>
      <c r="F661" s="4" t="s">
        <v>1408</v>
      </c>
      <c r="G661" s="4" t="s">
        <v>1408</v>
      </c>
      <c r="H661" s="2" t="s">
        <v>1408</v>
      </c>
      <c r="I661" s="4" t="s">
        <v>1408</v>
      </c>
      <c r="J661" s="4" t="s">
        <v>1408</v>
      </c>
      <c r="K661" s="4">
        <v>3.003358</v>
      </c>
      <c r="L661" s="4">
        <v>11.492205999999999</v>
      </c>
      <c r="N661" s="5" t="s">
        <v>1408</v>
      </c>
      <c r="O661" s="5">
        <v>1383846</v>
      </c>
      <c r="P661" s="6" t="e">
        <v>#VALUE!</v>
      </c>
      <c r="Q661" s="1"/>
      <c r="R661" s="7" t="e">
        <f ca="1">_xll.SNL.Clients.Office.Excel.Functions.SPG(A661, "SP_TOTAL_DEBT", "LTM")</f>
        <v>#NAME?</v>
      </c>
      <c r="S661" s="8" t="e">
        <f ca="1">_xll.SNL.Clients.Office.Excel.Functions.SPG(A661, "SP_DEBT_TO_EQUITY", "LTM")</f>
        <v>#NAME?</v>
      </c>
      <c r="U661" s="9" t="e">
        <f t="shared" ca="1" si="10"/>
        <v>#VALUE!</v>
      </c>
      <c r="Y661" s="1"/>
      <c r="Z661" s="1"/>
      <c r="AA661" s="10"/>
      <c r="AB661" s="1" t="s">
        <v>1371</v>
      </c>
      <c r="AC661" s="1" t="s">
        <v>95</v>
      </c>
      <c r="AD661" s="10">
        <v>21005.904600000002</v>
      </c>
      <c r="AE661" s="1" t="s">
        <v>25</v>
      </c>
    </row>
    <row r="662" spans="1:31" x14ac:dyDescent="0.2">
      <c r="A662" s="1" t="s">
        <v>1372</v>
      </c>
      <c r="B662" s="2" t="s">
        <v>1408</v>
      </c>
      <c r="C662" s="3">
        <v>-50.772968197879898</v>
      </c>
      <c r="D662" s="2">
        <v>-17.872</v>
      </c>
      <c r="E662" s="2">
        <v>13.055182</v>
      </c>
      <c r="F662" s="4">
        <v>0.51100000000000001</v>
      </c>
      <c r="G662" s="4">
        <v>6.3578922683836296</v>
      </c>
      <c r="H662" s="2" t="s">
        <v>1408</v>
      </c>
      <c r="I662" s="4" t="s">
        <v>1408</v>
      </c>
      <c r="J662" s="4">
        <v>20.780814114828999</v>
      </c>
      <c r="K662" s="4">
        <v>0.81249499999999997</v>
      </c>
      <c r="L662" s="4" t="s">
        <v>1408</v>
      </c>
      <c r="N662" s="5" t="s">
        <v>1408</v>
      </c>
      <c r="O662" s="5">
        <v>55851</v>
      </c>
      <c r="P662" s="6" t="e">
        <v>#VALUE!</v>
      </c>
      <c r="Q662" s="1"/>
      <c r="R662" s="7" t="e">
        <f ca="1">_xll.SNL.Clients.Office.Excel.Functions.SPG(A662, "SP_TOTAL_DEBT", "LTM")</f>
        <v>#NAME?</v>
      </c>
      <c r="S662" s="8" t="e">
        <f ca="1">_xll.SNL.Clients.Office.Excel.Functions.SPG(A662, "SP_DEBT_TO_EQUITY", "LTM")</f>
        <v>#NAME?</v>
      </c>
      <c r="U662" s="9" t="e">
        <f t="shared" ca="1" si="10"/>
        <v>#VALUE!</v>
      </c>
      <c r="Y662" s="1"/>
      <c r="Z662" s="1"/>
      <c r="AA662" s="10"/>
      <c r="AB662" s="1" t="s">
        <v>1373</v>
      </c>
      <c r="AC662" s="1" t="s">
        <v>34</v>
      </c>
      <c r="AD662" s="10">
        <v>751.03553499999998</v>
      </c>
      <c r="AE662" s="1" t="s">
        <v>25</v>
      </c>
    </row>
    <row r="663" spans="1:31" x14ac:dyDescent="0.2">
      <c r="A663" s="1" t="s">
        <v>1374</v>
      </c>
      <c r="B663" s="2" t="s">
        <v>1408</v>
      </c>
      <c r="C663" s="3">
        <v>9.7345132743362903</v>
      </c>
      <c r="D663" s="2">
        <v>6.5309999999999997</v>
      </c>
      <c r="E663" s="2">
        <v>8.1754180000000005</v>
      </c>
      <c r="F663" s="4">
        <v>1.0669999999999999</v>
      </c>
      <c r="G663" s="4">
        <v>10.8323213247256</v>
      </c>
      <c r="H663" s="2" t="s">
        <v>1408</v>
      </c>
      <c r="I663" s="4" t="s">
        <v>1408</v>
      </c>
      <c r="J663" s="4" t="s">
        <v>1408</v>
      </c>
      <c r="K663" s="4">
        <v>0.83213899999999996</v>
      </c>
      <c r="L663" s="4" t="s">
        <v>1408</v>
      </c>
      <c r="N663" s="5" t="s">
        <v>1408</v>
      </c>
      <c r="O663" s="5">
        <v>236370</v>
      </c>
      <c r="P663" s="6" t="e">
        <v>#VALUE!</v>
      </c>
      <c r="Q663" s="1"/>
      <c r="R663" s="7" t="e">
        <f ca="1">_xll.SNL.Clients.Office.Excel.Functions.SPG(A663, "SP_TOTAL_DEBT", "LTM")</f>
        <v>#NAME?</v>
      </c>
      <c r="S663" s="8" t="e">
        <f ca="1">_xll.SNL.Clients.Office.Excel.Functions.SPG(A663, "SP_DEBT_TO_EQUITY", "LTM")</f>
        <v>#NAME?</v>
      </c>
      <c r="U663" s="9" t="e">
        <f t="shared" ca="1" si="10"/>
        <v>#VALUE!</v>
      </c>
      <c r="Y663" s="1"/>
      <c r="Z663" s="1"/>
      <c r="AA663" s="10"/>
      <c r="AB663" s="1" t="s">
        <v>1375</v>
      </c>
      <c r="AC663" s="1" t="s">
        <v>34</v>
      </c>
      <c r="AD663" s="10">
        <v>1879.96004064</v>
      </c>
      <c r="AE663" s="1" t="s">
        <v>25</v>
      </c>
    </row>
    <row r="664" spans="1:31" x14ac:dyDescent="0.2">
      <c r="A664" s="1" t="s">
        <v>1376</v>
      </c>
      <c r="B664" s="2" t="s">
        <v>1408</v>
      </c>
      <c r="C664" s="3">
        <v>-21.9631901840491</v>
      </c>
      <c r="D664" s="2">
        <v>-2.2130000000000001</v>
      </c>
      <c r="E664" s="2">
        <v>26.587188000000001</v>
      </c>
      <c r="F664" s="4">
        <v>2.1739999999999999</v>
      </c>
      <c r="G664" s="4">
        <v>12.576418320261901</v>
      </c>
      <c r="H664" s="2">
        <v>1.764</v>
      </c>
      <c r="I664" s="4">
        <v>0.19700000000000001</v>
      </c>
      <c r="J664" s="4">
        <v>18.905113175078601</v>
      </c>
      <c r="K664" s="4">
        <v>1.7780640000000001</v>
      </c>
      <c r="L664" s="4" t="s">
        <v>1408</v>
      </c>
      <c r="N664" s="5" t="s">
        <v>1408</v>
      </c>
      <c r="O664" s="5">
        <v>111770</v>
      </c>
      <c r="P664" s="6" t="e">
        <v>#VALUE!</v>
      </c>
      <c r="Q664" s="1"/>
      <c r="R664" s="7" t="e">
        <f ca="1">_xll.SNL.Clients.Office.Excel.Functions.SPG(A664, "SP_TOTAL_DEBT", "LTM")</f>
        <v>#NAME?</v>
      </c>
      <c r="S664" s="8" t="e">
        <f ca="1">_xll.SNL.Clients.Office.Excel.Functions.SPG(A664, "SP_DEBT_TO_EQUITY", "LTM")</f>
        <v>#NAME?</v>
      </c>
      <c r="U664" s="9" t="e">
        <f t="shared" ca="1" si="10"/>
        <v>#VALUE!</v>
      </c>
      <c r="Y664" s="1"/>
      <c r="Z664" s="1"/>
      <c r="AA664" s="10"/>
      <c r="AB664" s="1" t="s">
        <v>1377</v>
      </c>
      <c r="AC664" s="1" t="s">
        <v>164</v>
      </c>
      <c r="AD664" s="10">
        <v>3230.9533691500001</v>
      </c>
      <c r="AE664" s="1" t="s">
        <v>25</v>
      </c>
    </row>
    <row r="665" spans="1:31" x14ac:dyDescent="0.2">
      <c r="A665" s="1" t="s">
        <v>1378</v>
      </c>
      <c r="B665" s="2" t="s">
        <v>1408</v>
      </c>
      <c r="C665" s="3">
        <v>-31.3868613138686</v>
      </c>
      <c r="D665" s="2">
        <v>-13.577</v>
      </c>
      <c r="E665" s="2">
        <v>9.2340429999999998</v>
      </c>
      <c r="F665" s="4">
        <v>0.69499999999999995</v>
      </c>
      <c r="G665" s="4">
        <v>10.587108059879901</v>
      </c>
      <c r="H665" s="2" t="s">
        <v>1408</v>
      </c>
      <c r="I665" s="4" t="s">
        <v>1408</v>
      </c>
      <c r="J665" s="4">
        <v>29.228723128991199</v>
      </c>
      <c r="K665" s="4">
        <v>0.93824300000000005</v>
      </c>
      <c r="L665" s="4" t="s">
        <v>1408</v>
      </c>
      <c r="N665" s="5" t="s">
        <v>1408</v>
      </c>
      <c r="O665" s="5">
        <v>48176</v>
      </c>
      <c r="P665" s="6" t="e">
        <v>#VALUE!</v>
      </c>
      <c r="Q665" s="1"/>
      <c r="R665" s="7" t="e">
        <f ca="1">_xll.SNL.Clients.Office.Excel.Functions.SPG(A665, "SP_TOTAL_DEBT", "LTM")</f>
        <v>#NAME?</v>
      </c>
      <c r="S665" s="8" t="e">
        <f ca="1">_xll.SNL.Clients.Office.Excel.Functions.SPG(A665, "SP_DEBT_TO_EQUITY", "LTM")</f>
        <v>#NAME?</v>
      </c>
      <c r="U665" s="9" t="e">
        <f t="shared" ca="1" si="10"/>
        <v>#VALUE!</v>
      </c>
      <c r="Y665" s="1"/>
      <c r="Z665" s="1"/>
      <c r="AA665" s="10"/>
      <c r="AB665" s="1" t="s">
        <v>1379</v>
      </c>
      <c r="AC665" s="1" t="s">
        <v>34</v>
      </c>
      <c r="AD665" s="10">
        <v>473.63169284999998</v>
      </c>
      <c r="AE665" s="1" t="s">
        <v>25</v>
      </c>
    </row>
    <row r="666" spans="1:31" x14ac:dyDescent="0.2">
      <c r="A666" s="1" t="s">
        <v>1380</v>
      </c>
      <c r="B666" s="2" t="s">
        <v>1408</v>
      </c>
      <c r="C666" s="3">
        <v>31.989247311827999</v>
      </c>
      <c r="D666" s="2">
        <v>14.093</v>
      </c>
      <c r="E666" s="2">
        <v>9.3971490000000006</v>
      </c>
      <c r="F666" s="4">
        <v>1.1870000000000001</v>
      </c>
      <c r="G666" s="4">
        <v>10.4258132101867</v>
      </c>
      <c r="H666" s="2" t="s">
        <v>1408</v>
      </c>
      <c r="I666" s="4" t="s">
        <v>1408</v>
      </c>
      <c r="J666" s="4">
        <v>49.448538037394201</v>
      </c>
      <c r="K666" s="4">
        <v>0.94421500000000003</v>
      </c>
      <c r="L666" s="4" t="s">
        <v>1408</v>
      </c>
      <c r="N666" s="5" t="s">
        <v>1408</v>
      </c>
      <c r="O666" s="5">
        <v>867840</v>
      </c>
      <c r="P666" s="6" t="e">
        <v>#VALUE!</v>
      </c>
      <c r="Q666" s="1"/>
      <c r="R666" s="7" t="e">
        <f ca="1">_xll.SNL.Clients.Office.Excel.Functions.SPG(A666, "SP_TOTAL_DEBT", "LTM")</f>
        <v>#NAME?</v>
      </c>
      <c r="S666" s="8" t="e">
        <f ca="1">_xll.SNL.Clients.Office.Excel.Functions.SPG(A666, "SP_DEBT_TO_EQUITY", "LTM")</f>
        <v>#NAME?</v>
      </c>
      <c r="U666" s="9" t="e">
        <f t="shared" ca="1" si="10"/>
        <v>#VALUE!</v>
      </c>
      <c r="Y666" s="1"/>
      <c r="Z666" s="1"/>
      <c r="AA666" s="10"/>
      <c r="AB666" s="1" t="s">
        <v>1381</v>
      </c>
      <c r="AC666" s="1" t="s">
        <v>34</v>
      </c>
      <c r="AD666" s="10">
        <v>8511.6485599999996</v>
      </c>
      <c r="AE666" s="1" t="s">
        <v>25</v>
      </c>
    </row>
    <row r="667" spans="1:31" x14ac:dyDescent="0.2">
      <c r="A667" s="1" t="s">
        <v>1382</v>
      </c>
      <c r="B667" s="2" t="s">
        <v>1408</v>
      </c>
      <c r="C667" s="3">
        <v>-16.887417218543099</v>
      </c>
      <c r="D667" s="2">
        <v>-1.57</v>
      </c>
      <c r="E667" s="2">
        <v>11.211155</v>
      </c>
      <c r="F667" s="4">
        <v>0.91800000000000004</v>
      </c>
      <c r="G667" s="4">
        <v>6.4265038731089597</v>
      </c>
      <c r="H667" s="2" t="s">
        <v>1408</v>
      </c>
      <c r="I667" s="4" t="s">
        <v>1408</v>
      </c>
      <c r="J667" s="4">
        <v>32.781480649375503</v>
      </c>
      <c r="K667" s="4">
        <v>0.69951300000000005</v>
      </c>
      <c r="L667" s="4" t="s">
        <v>1408</v>
      </c>
      <c r="N667" s="5" t="s">
        <v>1408</v>
      </c>
      <c r="O667" s="5">
        <v>159032</v>
      </c>
      <c r="P667" s="6" t="e">
        <v>#VALUE!</v>
      </c>
      <c r="Q667" s="1"/>
      <c r="R667" s="7" t="e">
        <f ca="1">_xll.SNL.Clients.Office.Excel.Functions.SPG(A667, "SP_TOTAL_DEBT", "LTM")</f>
        <v>#NAME?</v>
      </c>
      <c r="S667" s="8" t="e">
        <f ca="1">_xll.SNL.Clients.Office.Excel.Functions.SPG(A667, "SP_DEBT_TO_EQUITY", "LTM")</f>
        <v>#NAME?</v>
      </c>
      <c r="U667" s="9" t="e">
        <f t="shared" ca="1" si="10"/>
        <v>#VALUE!</v>
      </c>
      <c r="Y667" s="1"/>
      <c r="Z667" s="1"/>
      <c r="AA667" s="10"/>
      <c r="AB667" s="1" t="s">
        <v>1383</v>
      </c>
      <c r="AC667" s="1" t="s">
        <v>34</v>
      </c>
      <c r="AD667" s="10">
        <v>1742.1046028999999</v>
      </c>
      <c r="AE667" s="1" t="s">
        <v>25</v>
      </c>
    </row>
    <row r="668" spans="1:31" x14ac:dyDescent="0.2">
      <c r="A668" s="1" t="s">
        <v>1384</v>
      </c>
      <c r="B668" s="2" t="s">
        <v>1408</v>
      </c>
      <c r="C668" s="3">
        <v>-47.826086956521699</v>
      </c>
      <c r="D668" s="2">
        <v>-24.942</v>
      </c>
      <c r="E668" s="2">
        <v>12.222222</v>
      </c>
      <c r="F668" s="4">
        <v>0.64900000000000002</v>
      </c>
      <c r="G668" s="4">
        <v>11.4160985103782</v>
      </c>
      <c r="H668" s="2" t="s">
        <v>1408</v>
      </c>
      <c r="I668" s="4" t="s">
        <v>1408</v>
      </c>
      <c r="J668" s="4">
        <v>37.451957837056199</v>
      </c>
      <c r="K668" s="4">
        <v>1.310694</v>
      </c>
      <c r="L668" s="4" t="s">
        <v>1408</v>
      </c>
      <c r="N668" s="5" t="s">
        <v>1408</v>
      </c>
      <c r="O668" s="5">
        <v>24137</v>
      </c>
      <c r="P668" s="6" t="e">
        <v>#VALUE!</v>
      </c>
      <c r="Q668" s="1"/>
      <c r="R668" s="7" t="e">
        <f ca="1">_xll.SNL.Clients.Office.Excel.Functions.SPG(A668, "SP_TOTAL_DEBT", "LTM")</f>
        <v>#NAME?</v>
      </c>
      <c r="S668" s="8" t="e">
        <f ca="1">_xll.SNL.Clients.Office.Excel.Functions.SPG(A668, "SP_DEBT_TO_EQUITY", "LTM")</f>
        <v>#NAME?</v>
      </c>
      <c r="U668" s="9" t="e">
        <f t="shared" ca="1" si="10"/>
        <v>#VALUE!</v>
      </c>
      <c r="Y668" s="1"/>
      <c r="Z668" s="1"/>
      <c r="AA668" s="10"/>
      <c r="AB668" s="1" t="s">
        <v>1385</v>
      </c>
      <c r="AC668" s="1" t="s">
        <v>34</v>
      </c>
      <c r="AD668" s="10">
        <v>314.59901814</v>
      </c>
      <c r="AE668" s="1" t="s">
        <v>25</v>
      </c>
    </row>
    <row r="669" spans="1:31" x14ac:dyDescent="0.2">
      <c r="A669" s="1" t="s">
        <v>1386</v>
      </c>
      <c r="B669" s="2" t="s">
        <v>1408</v>
      </c>
      <c r="C669" s="3">
        <v>33.480176211453703</v>
      </c>
      <c r="D669" s="2">
        <v>22.911999999999999</v>
      </c>
      <c r="E669" s="2">
        <v>7.424893</v>
      </c>
      <c r="F669" s="4">
        <v>2.4300000000000002</v>
      </c>
      <c r="G669" s="4">
        <v>18.082516403796099</v>
      </c>
      <c r="H669" s="2" t="s">
        <v>1408</v>
      </c>
      <c r="I669" s="4" t="s">
        <v>1408</v>
      </c>
      <c r="J669" s="4">
        <v>68.448581258829407</v>
      </c>
      <c r="K669" s="4">
        <v>1.5521579999999999</v>
      </c>
      <c r="L669" s="4" t="s">
        <v>1408</v>
      </c>
      <c r="N669" s="5" t="s">
        <v>1408</v>
      </c>
      <c r="O669" s="5">
        <v>161768</v>
      </c>
      <c r="P669" s="6" t="e">
        <v>#VALUE!</v>
      </c>
      <c r="Q669" s="1"/>
      <c r="R669" s="7" t="e">
        <f ca="1">_xll.SNL.Clients.Office.Excel.Functions.SPG(A669, "SP_TOTAL_DEBT", "LTM")</f>
        <v>#NAME?</v>
      </c>
      <c r="S669" s="8" t="e">
        <f ca="1">_xll.SNL.Clients.Office.Excel.Functions.SPG(A669, "SP_DEBT_TO_EQUITY", "LTM")</f>
        <v>#NAME?</v>
      </c>
      <c r="U669" s="9" t="e">
        <f t="shared" ca="1" si="10"/>
        <v>#VALUE!</v>
      </c>
      <c r="Y669" s="1"/>
      <c r="Z669" s="1"/>
      <c r="AA669" s="10"/>
      <c r="AB669" s="1" t="s">
        <v>1387</v>
      </c>
      <c r="AC669" s="1" t="s">
        <v>34</v>
      </c>
      <c r="AD669" s="10">
        <v>1272.7401199999999</v>
      </c>
      <c r="AE669" s="1" t="s">
        <v>25</v>
      </c>
    </row>
    <row r="670" spans="1:31" x14ac:dyDescent="0.2">
      <c r="A670" s="1" t="s">
        <v>1388</v>
      </c>
      <c r="B670" s="2" t="s">
        <v>1408</v>
      </c>
      <c r="C670" s="3">
        <v>-32.577319587628899</v>
      </c>
      <c r="D670" s="2">
        <v>3.4049999999999998</v>
      </c>
      <c r="E670" s="2">
        <v>8.8593270000000004</v>
      </c>
      <c r="F670" s="4">
        <v>1.042</v>
      </c>
      <c r="G670" s="4">
        <v>12.6315789473684</v>
      </c>
      <c r="H670" s="2" t="s">
        <v>1408</v>
      </c>
      <c r="I670" s="4" t="s">
        <v>1408</v>
      </c>
      <c r="J670" s="4">
        <v>37.2222222222222</v>
      </c>
      <c r="K670" s="4">
        <v>1.0880749999999999</v>
      </c>
      <c r="L670" s="4" t="s">
        <v>1408</v>
      </c>
      <c r="N670" s="5" t="s">
        <v>1408</v>
      </c>
      <c r="O670" s="5">
        <v>722400</v>
      </c>
      <c r="P670" s="6" t="e">
        <v>#VALUE!</v>
      </c>
      <c r="Q670" s="1"/>
      <c r="R670" s="7" t="e">
        <f ca="1">_xll.SNL.Clients.Office.Excel.Functions.SPG(A670, "SP_TOTAL_DEBT", "LTM")</f>
        <v>#NAME?</v>
      </c>
      <c r="S670" s="8" t="e">
        <f ca="1">_xll.SNL.Clients.Office.Excel.Functions.SPG(A670, "SP_DEBT_TO_EQUITY", "LTM")</f>
        <v>#NAME?</v>
      </c>
      <c r="U670" s="9" t="e">
        <f t="shared" ca="1" si="10"/>
        <v>#VALUE!</v>
      </c>
      <c r="Y670" s="1"/>
      <c r="Z670" s="1"/>
      <c r="AA670" s="10"/>
      <c r="AB670" s="1" t="s">
        <v>1389</v>
      </c>
      <c r="AC670" s="1" t="s">
        <v>34</v>
      </c>
      <c r="AD670" s="10">
        <v>6944.3740438799996</v>
      </c>
      <c r="AE670" s="1" t="s">
        <v>25</v>
      </c>
    </row>
    <row r="671" spans="1:31" x14ac:dyDescent="0.2">
      <c r="A671" s="1" t="s">
        <v>1390</v>
      </c>
      <c r="B671" s="2">
        <v>7.8540000000000001</v>
      </c>
      <c r="C671" s="3" t="s">
        <v>1409</v>
      </c>
      <c r="D671" s="2">
        <v>27.016999999999999</v>
      </c>
      <c r="E671" s="2">
        <v>32.193351</v>
      </c>
      <c r="F671" s="4">
        <v>3.1190000000000002</v>
      </c>
      <c r="G671" s="4">
        <v>9.4105039501009102</v>
      </c>
      <c r="H671" s="2">
        <v>1.0309999999999999</v>
      </c>
      <c r="I671" s="4">
        <v>0.19400000000000001</v>
      </c>
      <c r="J671" s="4" t="s">
        <v>1408</v>
      </c>
      <c r="K671" s="4">
        <v>5.0211449999999997</v>
      </c>
      <c r="L671" s="4">
        <v>10.123903</v>
      </c>
      <c r="N671" s="5">
        <v>1816471</v>
      </c>
      <c r="O671" s="5">
        <v>270361</v>
      </c>
      <c r="P671" s="6">
        <v>6.7186872366946417</v>
      </c>
      <c r="Q671" s="1"/>
      <c r="R671" s="7" t="e">
        <f ca="1">_xll.SNL.Clients.Office.Excel.Functions.SPG(A671, "SP_TOTAL_DEBT", "LTM")</f>
        <v>#NAME?</v>
      </c>
      <c r="S671" s="8" t="e">
        <f ca="1">_xll.SNL.Clients.Office.Excel.Functions.SPG(A671, "SP_DEBT_TO_EQUITY", "LTM")</f>
        <v>#NAME?</v>
      </c>
      <c r="U671" s="9" t="e">
        <f t="shared" ca="1" si="10"/>
        <v>#NAME?</v>
      </c>
      <c r="Y671" s="1"/>
      <c r="Z671" s="1"/>
      <c r="AA671" s="10"/>
      <c r="AB671" s="1" t="s">
        <v>1391</v>
      </c>
      <c r="AC671" s="1" t="s">
        <v>57</v>
      </c>
      <c r="AD671" s="10">
        <v>8735.0847182100006</v>
      </c>
      <c r="AE671" s="1" t="s">
        <v>25</v>
      </c>
    </row>
    <row r="672" spans="1:31" x14ac:dyDescent="0.2">
      <c r="A672" s="1" t="s">
        <v>1392</v>
      </c>
      <c r="B672" s="2">
        <v>8.7550000000000008</v>
      </c>
      <c r="C672" s="3" t="s">
        <v>1408</v>
      </c>
      <c r="D672" s="2">
        <v>87.123000000000005</v>
      </c>
      <c r="E672" s="2">
        <v>16.104851</v>
      </c>
      <c r="F672" s="4">
        <v>5.3630000000000004</v>
      </c>
      <c r="G672" s="4">
        <v>13.9713309923517</v>
      </c>
      <c r="H672" s="2">
        <v>2.6150000000000002</v>
      </c>
      <c r="I672" s="4">
        <v>0.27500000000000002</v>
      </c>
      <c r="J672" s="4" t="s">
        <v>1408</v>
      </c>
      <c r="K672" s="4" t="s">
        <v>1408</v>
      </c>
      <c r="L672" s="4">
        <v>10.511132999999999</v>
      </c>
      <c r="N672" s="5" t="s">
        <v>1408</v>
      </c>
      <c r="O672" s="5">
        <v>580900</v>
      </c>
      <c r="P672" s="6" t="e">
        <v>#VALUE!</v>
      </c>
      <c r="Q672" s="1"/>
      <c r="R672" s="7" t="e">
        <f ca="1">_xll.SNL.Clients.Office.Excel.Functions.SPG(A672, "SP_TOTAL_DEBT", "LTM")</f>
        <v>#NAME?</v>
      </c>
      <c r="S672" s="8" t="e">
        <f ca="1">_xll.SNL.Clients.Office.Excel.Functions.SPG(A672, "SP_DEBT_TO_EQUITY", "LTM")</f>
        <v>#NAME?</v>
      </c>
      <c r="U672" s="9" t="e">
        <f t="shared" ca="1" si="10"/>
        <v>#VALUE!</v>
      </c>
      <c r="Y672" s="1"/>
      <c r="Z672" s="1"/>
      <c r="AA672" s="10"/>
      <c r="AB672" s="1" t="s">
        <v>1393</v>
      </c>
      <c r="AC672" s="1" t="s">
        <v>95</v>
      </c>
      <c r="AD672" s="10">
        <v>3975.9469462900001</v>
      </c>
      <c r="AE672" s="1" t="s">
        <v>25</v>
      </c>
    </row>
    <row r="673" spans="1:31" x14ac:dyDescent="0.2">
      <c r="A673" s="1" t="s">
        <v>1394</v>
      </c>
      <c r="B673" s="2" t="s">
        <v>1408</v>
      </c>
      <c r="C673" s="3">
        <v>-9.67741935483871</v>
      </c>
      <c r="D673" s="2">
        <v>7.7080000000000002</v>
      </c>
      <c r="E673" s="2">
        <v>8.0999770000000009</v>
      </c>
      <c r="F673" s="4">
        <v>1.1439999999999999</v>
      </c>
      <c r="G673" s="4" t="s">
        <v>1408</v>
      </c>
      <c r="H673" s="2" t="s">
        <v>1408</v>
      </c>
      <c r="I673" s="4" t="s">
        <v>1408</v>
      </c>
      <c r="J673" s="4" t="s">
        <v>1408</v>
      </c>
      <c r="K673" s="4">
        <v>1.0613779999999999</v>
      </c>
      <c r="L673" s="4" t="s">
        <v>1408</v>
      </c>
      <c r="N673" s="5" t="s">
        <v>1408</v>
      </c>
      <c r="O673" s="5">
        <v>48900</v>
      </c>
      <c r="P673" s="6" t="e">
        <v>#VALUE!</v>
      </c>
      <c r="Q673" s="1"/>
      <c r="R673" s="7" t="e">
        <f ca="1">_xll.SNL.Clients.Office.Excel.Functions.SPG(A673, "SP_TOTAL_DEBT", "LTM")</f>
        <v>#NAME?</v>
      </c>
      <c r="S673" s="8" t="e">
        <f ca="1">_xll.SNL.Clients.Office.Excel.Functions.SPG(A673, "SP_DEBT_TO_EQUITY", "LTM")</f>
        <v>#NAME?</v>
      </c>
      <c r="U673" s="9" t="e">
        <f t="shared" ca="1" si="10"/>
        <v>#VALUE!</v>
      </c>
      <c r="Y673" s="1"/>
      <c r="Z673" s="1"/>
      <c r="AA673" s="10"/>
      <c r="AB673" s="1" t="s">
        <v>1395</v>
      </c>
      <c r="AC673" s="1" t="s">
        <v>34</v>
      </c>
      <c r="AD673" s="10">
        <v>401.13804499999998</v>
      </c>
      <c r="AE673" s="1" t="s">
        <v>25</v>
      </c>
    </row>
    <row r="674" spans="1:31" x14ac:dyDescent="0.2">
      <c r="A674" s="1" t="s">
        <v>1396</v>
      </c>
      <c r="B674" s="2" t="s">
        <v>1408</v>
      </c>
      <c r="C674" s="3">
        <v>19.451371571072301</v>
      </c>
      <c r="D674" s="2">
        <v>14.877000000000001</v>
      </c>
      <c r="E674" s="2">
        <v>9.6179539999999992</v>
      </c>
      <c r="F674" s="4">
        <v>1.1399999999999999</v>
      </c>
      <c r="G674" s="4">
        <v>12.3951231427751</v>
      </c>
      <c r="H674" s="2" t="s">
        <v>1408</v>
      </c>
      <c r="I674" s="4" t="s">
        <v>1408</v>
      </c>
      <c r="J674" s="4">
        <v>38.933160679954803</v>
      </c>
      <c r="K674" s="4">
        <v>1.1315379999999999</v>
      </c>
      <c r="L674" s="4" t="s">
        <v>1408</v>
      </c>
      <c r="N674" s="5" t="s">
        <v>1408</v>
      </c>
      <c r="O674" s="5">
        <v>622626</v>
      </c>
      <c r="P674" s="6" t="e">
        <v>#VALUE!</v>
      </c>
      <c r="Q674" s="1"/>
      <c r="R674" s="7" t="e">
        <f ca="1">_xll.SNL.Clients.Office.Excel.Functions.SPG(A674, "SP_TOTAL_DEBT", "LTM")</f>
        <v>#NAME?</v>
      </c>
      <c r="S674" s="8" t="e">
        <f ca="1">_xll.SNL.Clients.Office.Excel.Functions.SPG(A674, "SP_DEBT_TO_EQUITY", "LTM")</f>
        <v>#NAME?</v>
      </c>
      <c r="U674" s="9" t="e">
        <f t="shared" ca="1" si="10"/>
        <v>#VALUE!</v>
      </c>
      <c r="Y674" s="1"/>
      <c r="Z674" s="1"/>
      <c r="AA674" s="10"/>
      <c r="AB674" s="1" t="s">
        <v>1397</v>
      </c>
      <c r="AC674" s="1" t="s">
        <v>34</v>
      </c>
      <c r="AD674" s="10">
        <v>5939.4068494800003</v>
      </c>
      <c r="AE674" s="1" t="s">
        <v>25</v>
      </c>
    </row>
    <row r="675" spans="1:31" x14ac:dyDescent="0.2">
      <c r="A675" s="1" t="s">
        <v>1398</v>
      </c>
      <c r="B675" s="2">
        <v>6.93</v>
      </c>
      <c r="C675" s="3">
        <v>106.45161290322601</v>
      </c>
      <c r="D675" s="2">
        <v>15.826000000000001</v>
      </c>
      <c r="E675" s="2">
        <v>10.84375</v>
      </c>
      <c r="F675" s="4">
        <v>5.5289999999999999</v>
      </c>
      <c r="G675" s="4">
        <v>25.571317114467899</v>
      </c>
      <c r="H675" s="2">
        <v>2.226</v>
      </c>
      <c r="I675" s="4">
        <v>0.35299999999999998</v>
      </c>
      <c r="J675" s="4" t="s">
        <v>1408</v>
      </c>
      <c r="K675" s="4">
        <v>2.4644889999999999</v>
      </c>
      <c r="L675" s="4">
        <v>13.200858999999999</v>
      </c>
      <c r="N675" s="5">
        <v>79149.5</v>
      </c>
      <c r="O675" s="5">
        <v>102546</v>
      </c>
      <c r="P675" s="6">
        <v>0.77184385544048528</v>
      </c>
      <c r="Q675" s="1"/>
      <c r="R675" s="7" t="e">
        <f ca="1">_xll.SNL.Clients.Office.Excel.Functions.SPG(A675, "SP_TOTAL_DEBT", "LTM")</f>
        <v>#NAME?</v>
      </c>
      <c r="S675" s="8" t="e">
        <f ca="1">_xll.SNL.Clients.Office.Excel.Functions.SPG(A675, "SP_DEBT_TO_EQUITY", "LTM")</f>
        <v>#NAME?</v>
      </c>
      <c r="U675" s="9" t="e">
        <f t="shared" ca="1" si="10"/>
        <v>#NAME?</v>
      </c>
      <c r="Y675" s="1"/>
      <c r="Z675" s="1"/>
      <c r="AA675" s="10"/>
      <c r="AB675" s="1" t="s">
        <v>1399</v>
      </c>
      <c r="AC675" s="1" t="s">
        <v>37</v>
      </c>
      <c r="AD675" s="10">
        <v>983.64270887999999</v>
      </c>
      <c r="AE675" s="1" t="s">
        <v>25</v>
      </c>
    </row>
    <row r="676" spans="1:31" x14ac:dyDescent="0.2">
      <c r="A676" s="1" t="s">
        <v>1400</v>
      </c>
      <c r="B676" s="2">
        <v>4.3760000000000003</v>
      </c>
      <c r="C676" s="3">
        <v>-57.497048406139299</v>
      </c>
      <c r="D676" s="2">
        <v>5.2779999999999996</v>
      </c>
      <c r="E676" s="2">
        <v>11.870562</v>
      </c>
      <c r="F676" s="4">
        <v>7.0369999999999999</v>
      </c>
      <c r="G676" s="4">
        <v>5.8592835058285502</v>
      </c>
      <c r="H676" s="2">
        <v>20.463000000000001</v>
      </c>
      <c r="I676" s="4">
        <v>0.49199999999999999</v>
      </c>
      <c r="J676" s="4" t="s">
        <v>1408</v>
      </c>
      <c r="K676" s="4">
        <v>1.849399</v>
      </c>
      <c r="L676" s="4">
        <v>7.3157300000000003</v>
      </c>
      <c r="N676" s="5" t="s">
        <v>1408</v>
      </c>
      <c r="O676" s="5">
        <v>66916.990000000005</v>
      </c>
      <c r="P676" s="6" t="e">
        <v>#VALUE!</v>
      </c>
      <c r="Q676" s="1"/>
      <c r="R676" s="7" t="e">
        <f ca="1">_xll.SNL.Clients.Office.Excel.Functions.SPG(A676, "SP_TOTAL_DEBT", "LTM")</f>
        <v>#NAME?</v>
      </c>
      <c r="S676" s="8" t="e">
        <f ca="1">_xll.SNL.Clients.Office.Excel.Functions.SPG(A676, "SP_DEBT_TO_EQUITY", "LTM")</f>
        <v>#NAME?</v>
      </c>
      <c r="U676" s="9" t="e">
        <f t="shared" ca="1" si="10"/>
        <v>#VALUE!</v>
      </c>
      <c r="Y676" s="1"/>
      <c r="Z676" s="1"/>
      <c r="AA676" s="10"/>
      <c r="AB676" s="1" t="s">
        <v>1401</v>
      </c>
      <c r="AC676" s="1" t="s">
        <v>161</v>
      </c>
      <c r="AD676" s="10">
        <v>756.37501343999998</v>
      </c>
      <c r="AE676" s="1" t="s">
        <v>25</v>
      </c>
    </row>
    <row r="677" spans="1:31" x14ac:dyDescent="0.2">
      <c r="A677" s="1" t="s">
        <v>1402</v>
      </c>
      <c r="B677" s="2" t="s">
        <v>1408</v>
      </c>
      <c r="C677" s="3">
        <v>26.074498567335201</v>
      </c>
      <c r="D677" s="2">
        <v>5.94</v>
      </c>
      <c r="E677" s="2">
        <v>9.5495909999999995</v>
      </c>
      <c r="F677" s="4">
        <v>1.3280000000000001</v>
      </c>
      <c r="G677" s="4">
        <v>11.7216425244329</v>
      </c>
      <c r="H677" s="2" t="s">
        <v>1408</v>
      </c>
      <c r="I677" s="4" t="s">
        <v>1408</v>
      </c>
      <c r="J677" s="4">
        <v>36.2334253923785</v>
      </c>
      <c r="K677" s="4">
        <v>1.0257289999999999</v>
      </c>
      <c r="L677" s="4" t="s">
        <v>1408</v>
      </c>
      <c r="N677" s="5" t="s">
        <v>1408</v>
      </c>
      <c r="O677" s="5">
        <v>269025</v>
      </c>
      <c r="P677" s="6" t="e">
        <v>#VALUE!</v>
      </c>
      <c r="Q677" s="1"/>
      <c r="R677" s="7" t="e">
        <f ca="1">_xll.SNL.Clients.Office.Excel.Functions.SPG(A677, "SP_TOTAL_DEBT", "LTM")</f>
        <v>#NAME?</v>
      </c>
      <c r="S677" s="8" t="e">
        <f ca="1">_xll.SNL.Clients.Office.Excel.Functions.SPG(A677, "SP_DEBT_TO_EQUITY", "LTM")</f>
        <v>#NAME?</v>
      </c>
      <c r="U677" s="9" t="e">
        <f t="shared" ca="1" si="10"/>
        <v>#VALUE!</v>
      </c>
      <c r="Y677" s="1"/>
      <c r="Z677" s="1"/>
      <c r="AA677" s="10"/>
      <c r="AB677" s="1" t="s">
        <v>1403</v>
      </c>
      <c r="AC677" s="1" t="s">
        <v>34</v>
      </c>
      <c r="AD677" s="10">
        <v>2694.5463800000002</v>
      </c>
      <c r="AE677" s="1" t="s">
        <v>25</v>
      </c>
    </row>
    <row r="678" spans="1:31" x14ac:dyDescent="0.2">
      <c r="A678" s="1" t="s">
        <v>1404</v>
      </c>
      <c r="B678" s="2" t="s">
        <v>1408</v>
      </c>
      <c r="C678" s="3">
        <v>-0.20291429667028399</v>
      </c>
      <c r="D678" s="2">
        <v>8.4049999999999994</v>
      </c>
      <c r="E678" s="2">
        <v>18.873270000000002</v>
      </c>
      <c r="F678" s="4">
        <v>1.738</v>
      </c>
      <c r="G678" s="4">
        <v>22.020083854518301</v>
      </c>
      <c r="H678" s="2">
        <v>1.4470000000000001</v>
      </c>
      <c r="I678" s="4">
        <v>6.4000000000000001E-2</v>
      </c>
      <c r="J678" s="4" t="s">
        <v>1408</v>
      </c>
      <c r="K678" s="4">
        <v>3.439632</v>
      </c>
      <c r="L678" s="4" t="s">
        <v>1408</v>
      </c>
      <c r="N678" s="5" t="s">
        <v>1408</v>
      </c>
      <c r="O678" s="5">
        <v>3641878</v>
      </c>
      <c r="P678" s="6" t="e">
        <v>#VALUE!</v>
      </c>
      <c r="Q678" s="1"/>
      <c r="R678" s="7" t="e">
        <f ca="1">_xll.SNL.Clients.Office.Excel.Functions.SPG(A678, "SP_TOTAL_DEBT", "LTM")</f>
        <v>#NAME?</v>
      </c>
      <c r="S678" s="8" t="e">
        <f ca="1">_xll.SNL.Clients.Office.Excel.Functions.SPG(A678, "SP_DEBT_TO_EQUITY", "LTM")</f>
        <v>#NAME?</v>
      </c>
      <c r="U678" s="9" t="e">
        <f t="shared" ca="1" si="10"/>
        <v>#VALUE!</v>
      </c>
      <c r="Y678" s="1"/>
      <c r="Z678" s="1"/>
      <c r="AA678" s="10"/>
      <c r="AB678" s="1" t="s">
        <v>1405</v>
      </c>
      <c r="AC678" s="1" t="s">
        <v>174</v>
      </c>
      <c r="AD678" s="10">
        <v>13471.886063780001</v>
      </c>
      <c r="AE678" s="1" t="s">
        <v>42</v>
      </c>
    </row>
    <row r="679" spans="1:31" x14ac:dyDescent="0.2">
      <c r="A679" s="1" t="s">
        <v>1406</v>
      </c>
      <c r="B679" s="2" t="s">
        <v>1408</v>
      </c>
      <c r="C679" s="3">
        <v>-24.870466321243502</v>
      </c>
      <c r="D679" s="2">
        <v>-4.9260000000000002</v>
      </c>
      <c r="E679" s="2">
        <v>7.193047</v>
      </c>
      <c r="F679" s="4" t="s">
        <v>1408</v>
      </c>
      <c r="G679" s="4">
        <v>12.8848886783515</v>
      </c>
      <c r="H679" s="2" t="s">
        <v>1408</v>
      </c>
      <c r="I679" s="4" t="s">
        <v>1408</v>
      </c>
      <c r="J679" s="4">
        <v>30.987734021949599</v>
      </c>
      <c r="K679" s="4">
        <v>1.1821189999999999</v>
      </c>
      <c r="L679" s="4" t="s">
        <v>1408</v>
      </c>
      <c r="N679" s="5" t="s">
        <v>1408</v>
      </c>
      <c r="O679" s="5">
        <v>680000</v>
      </c>
      <c r="P679" s="6" t="e">
        <v>#VALUE!</v>
      </c>
      <c r="Q679" s="1"/>
      <c r="R679" s="7" t="e">
        <f ca="1">_xll.SNL.Clients.Office.Excel.Functions.SPG(A679, "SP_TOTAL_DEBT", "LTM")</f>
        <v>#NAME?</v>
      </c>
      <c r="S679" s="8" t="e">
        <f ca="1">_xll.SNL.Clients.Office.Excel.Functions.SPG(A679, "SP_DEBT_TO_EQUITY", "LTM")</f>
        <v>#NAME?</v>
      </c>
      <c r="U679" s="9" t="e">
        <f t="shared" ca="1" si="10"/>
        <v>#VALUE!</v>
      </c>
      <c r="Y679" s="1"/>
      <c r="Z679" s="1"/>
      <c r="AA679" s="10"/>
      <c r="AB679" s="1" t="s">
        <v>1407</v>
      </c>
      <c r="AC679" s="1" t="s">
        <v>34</v>
      </c>
      <c r="AD679" s="10">
        <v>6207.6107000000002</v>
      </c>
      <c r="AE679" s="1" t="s">
        <v>25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Hau Tang</dc:creator>
  <cp:lastModifiedBy>Zhong Hau Tang</cp:lastModifiedBy>
  <dcterms:created xsi:type="dcterms:W3CDTF">2024-02-07T20:26:08Z</dcterms:created>
  <dcterms:modified xsi:type="dcterms:W3CDTF">2024-02-07T20:27:31Z</dcterms:modified>
</cp:coreProperties>
</file>